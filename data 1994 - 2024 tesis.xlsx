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memorias bcrp 1994\"/>
    </mc:Choice>
  </mc:AlternateContent>
  <xr:revisionPtr revIDLastSave="0" documentId="13_ncr:1_{688A6DCC-105E-402C-9746-442CDFE0FE17}" xr6:coauthVersionLast="47" xr6:coauthVersionMax="47" xr10:uidLastSave="{00000000-0000-0000-0000-000000000000}"/>
  <bookViews>
    <workbookView xWindow="-108" yWindow="-108" windowWidth="23256" windowHeight="13896" xr2:uid="{757C525B-D543-4C39-B124-2B86A2465D2A}"/>
  </bookViews>
  <sheets>
    <sheet name="Data 1994 - 202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6" i="1" l="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75" i="1"/>
  <c r="D106" i="1"/>
  <c r="C109" i="1" s="1"/>
  <c r="C106" i="1"/>
  <c r="C108" i="1" s="1"/>
  <c r="E86" i="1" l="1"/>
  <c r="E97" i="1"/>
  <c r="E85" i="1"/>
  <c r="G106" i="1"/>
  <c r="F81" i="1"/>
  <c r="F93" i="1"/>
  <c r="F105" i="1"/>
  <c r="F82" i="1"/>
  <c r="F94" i="1"/>
  <c r="F75" i="1"/>
  <c r="F83" i="1"/>
  <c r="F95" i="1"/>
  <c r="F84" i="1"/>
  <c r="F96" i="1"/>
  <c r="F85" i="1"/>
  <c r="F97" i="1"/>
  <c r="F86" i="1"/>
  <c r="F98" i="1"/>
  <c r="F87" i="1"/>
  <c r="F99" i="1"/>
  <c r="F76" i="1"/>
  <c r="F88" i="1"/>
  <c r="F100" i="1"/>
  <c r="F77" i="1"/>
  <c r="F89" i="1"/>
  <c r="F101" i="1"/>
  <c r="F78" i="1"/>
  <c r="F90" i="1"/>
  <c r="F102" i="1"/>
  <c r="F79" i="1"/>
  <c r="F91" i="1"/>
  <c r="F103" i="1"/>
  <c r="F80" i="1"/>
  <c r="F92" i="1"/>
  <c r="F104" i="1"/>
  <c r="E96" i="1"/>
  <c r="E84" i="1"/>
  <c r="E95" i="1"/>
  <c r="E83" i="1"/>
  <c r="E75" i="1"/>
  <c r="E94" i="1"/>
  <c r="E82" i="1"/>
  <c r="E105" i="1"/>
  <c r="E93" i="1"/>
  <c r="E81" i="1"/>
  <c r="E104" i="1"/>
  <c r="E92" i="1"/>
  <c r="E80" i="1"/>
  <c r="E103" i="1"/>
  <c r="E91" i="1"/>
  <c r="E79" i="1"/>
  <c r="E102" i="1"/>
  <c r="E90" i="1"/>
  <c r="E78" i="1"/>
  <c r="E101" i="1"/>
  <c r="E89" i="1"/>
  <c r="E77" i="1"/>
  <c r="E100" i="1"/>
  <c r="E88" i="1"/>
  <c r="E76" i="1"/>
  <c r="E99" i="1"/>
  <c r="E87" i="1"/>
  <c r="E98" i="1"/>
  <c r="E106" i="1" l="1"/>
  <c r="F106" i="1"/>
</calcChain>
</file>

<file path=xl/sharedStrings.xml><?xml version="1.0" encoding="utf-8"?>
<sst xmlns="http://schemas.openxmlformats.org/spreadsheetml/2006/main" count="152" uniqueCount="148">
  <si>
    <t>Año</t>
  </si>
  <si>
    <t>PBI Real (Var. %)</t>
  </si>
  <si>
    <t>Inflación (Fin de periodo %)</t>
  </si>
  <si>
    <t>Resultado Económico SPNF (% PBI)</t>
  </si>
  <si>
    <t>Balanza Comercial (Millones US$)</t>
  </si>
  <si>
    <r>
      <t xml:space="preserve">Banco Central de Reserva del Perú. (2012). </t>
    </r>
    <r>
      <rPr>
        <i/>
        <sz val="11"/>
        <color theme="1"/>
        <rFont val="Calibri"/>
        <family val="2"/>
        <scheme val="minor"/>
      </rPr>
      <t>Memoria 2011</t>
    </r>
    <r>
      <rPr>
        <sz val="11"/>
        <color theme="1"/>
        <rFont val="Calibri"/>
        <family val="2"/>
        <scheme val="minor"/>
      </rPr>
      <t>. Lima, Perú.</t>
    </r>
  </si>
  <si>
    <r>
      <t xml:space="preserve">Banco Central de Reserva del Perú. (2013). </t>
    </r>
    <r>
      <rPr>
        <i/>
        <sz val="11"/>
        <color theme="1"/>
        <rFont val="Calibri"/>
        <family val="2"/>
        <scheme val="minor"/>
      </rPr>
      <t>Memoria 2012</t>
    </r>
    <r>
      <rPr>
        <sz val="11"/>
        <color theme="1"/>
        <rFont val="Calibri"/>
        <family val="2"/>
        <scheme val="minor"/>
      </rPr>
      <t>. Lima, Perú.</t>
    </r>
  </si>
  <si>
    <r>
      <t xml:space="preserve">Banco Central de Reserva del Perú. (2014). </t>
    </r>
    <r>
      <rPr>
        <i/>
        <sz val="11"/>
        <color theme="1"/>
        <rFont val="Calibri"/>
        <family val="2"/>
        <scheme val="minor"/>
      </rPr>
      <t>Memoria 2013</t>
    </r>
    <r>
      <rPr>
        <sz val="11"/>
        <color theme="1"/>
        <rFont val="Calibri"/>
        <family val="2"/>
        <scheme val="minor"/>
      </rPr>
      <t>. Lima, Perú.</t>
    </r>
  </si>
  <si>
    <r>
      <t xml:space="preserve">Banco Central de Reserva del Perú. (2015). </t>
    </r>
    <r>
      <rPr>
        <i/>
        <sz val="11"/>
        <color theme="1"/>
        <rFont val="Calibri"/>
        <family val="2"/>
        <scheme val="minor"/>
      </rPr>
      <t>Memoria 2014</t>
    </r>
    <r>
      <rPr>
        <sz val="11"/>
        <color theme="1"/>
        <rFont val="Calibri"/>
        <family val="2"/>
        <scheme val="minor"/>
      </rPr>
      <t>. Lima, Perú.</t>
    </r>
  </si>
  <si>
    <r>
      <t xml:space="preserve">Banco Central de Reserva del Perú. (2016). </t>
    </r>
    <r>
      <rPr>
        <i/>
        <sz val="11"/>
        <color theme="1"/>
        <rFont val="Calibri"/>
        <family val="2"/>
        <scheme val="minor"/>
      </rPr>
      <t>Memoria 2015</t>
    </r>
    <r>
      <rPr>
        <sz val="11"/>
        <color theme="1"/>
        <rFont val="Calibri"/>
        <family val="2"/>
        <scheme val="minor"/>
      </rPr>
      <t>. Lima, Perú.</t>
    </r>
  </si>
  <si>
    <r>
      <t xml:space="preserve">Banco Central de Reserva del Perú. (2017). </t>
    </r>
    <r>
      <rPr>
        <i/>
        <sz val="11"/>
        <color theme="1"/>
        <rFont val="Calibri"/>
        <family val="2"/>
        <scheme val="minor"/>
      </rPr>
      <t>Memoria 2016</t>
    </r>
    <r>
      <rPr>
        <sz val="11"/>
        <color theme="1"/>
        <rFont val="Calibri"/>
        <family val="2"/>
        <scheme val="minor"/>
      </rPr>
      <t>. Lima, Perú.</t>
    </r>
  </si>
  <si>
    <r>
      <t xml:space="preserve">Banco Central de Reserva del Perú. (2018). </t>
    </r>
    <r>
      <rPr>
        <i/>
        <sz val="11"/>
        <color theme="1"/>
        <rFont val="Calibri"/>
        <family val="2"/>
        <scheme val="minor"/>
      </rPr>
      <t>Memoria 2017</t>
    </r>
    <r>
      <rPr>
        <sz val="11"/>
        <color theme="1"/>
        <rFont val="Calibri"/>
        <family val="2"/>
        <scheme val="minor"/>
      </rPr>
      <t>. Lima, Perú.</t>
    </r>
  </si>
  <si>
    <r>
      <t xml:space="preserve">Banco Central de Reserva del Perú. (2019). </t>
    </r>
    <r>
      <rPr>
        <i/>
        <sz val="11"/>
        <color theme="1"/>
        <rFont val="Calibri"/>
        <family val="2"/>
        <scheme val="minor"/>
      </rPr>
      <t>Memoria 2018</t>
    </r>
    <r>
      <rPr>
        <sz val="11"/>
        <color theme="1"/>
        <rFont val="Calibri"/>
        <family val="2"/>
        <scheme val="minor"/>
      </rPr>
      <t>. Lima, Perú.</t>
    </r>
  </si>
  <si>
    <r>
      <t xml:space="preserve">Banco Central de Reserva del Perú. (2020). </t>
    </r>
    <r>
      <rPr>
        <i/>
        <sz val="11"/>
        <color theme="1"/>
        <rFont val="Calibri"/>
        <family val="2"/>
        <scheme val="minor"/>
      </rPr>
      <t>Memoria 2019</t>
    </r>
    <r>
      <rPr>
        <sz val="11"/>
        <color theme="1"/>
        <rFont val="Calibri"/>
        <family val="2"/>
        <scheme val="minor"/>
      </rPr>
      <t>. Lima, Perú.</t>
    </r>
  </si>
  <si>
    <r>
      <t xml:space="preserve">Banco Central de Reserva del Perú. (2021). </t>
    </r>
    <r>
      <rPr>
        <i/>
        <sz val="11"/>
        <color theme="1"/>
        <rFont val="Calibri"/>
        <family val="2"/>
        <scheme val="minor"/>
      </rPr>
      <t>Memoria 2020</t>
    </r>
    <r>
      <rPr>
        <sz val="11"/>
        <color theme="1"/>
        <rFont val="Calibri"/>
        <family val="2"/>
        <scheme val="minor"/>
      </rPr>
      <t>. Lima, Perú.</t>
    </r>
  </si>
  <si>
    <r>
      <t xml:space="preserve">Banco Central de Reserva del Perú. (2022). </t>
    </r>
    <r>
      <rPr>
        <i/>
        <sz val="11"/>
        <color theme="1"/>
        <rFont val="Calibri"/>
        <family val="2"/>
        <scheme val="minor"/>
      </rPr>
      <t>Memoria 2021</t>
    </r>
    <r>
      <rPr>
        <sz val="11"/>
        <color theme="1"/>
        <rFont val="Calibri"/>
        <family val="2"/>
        <scheme val="minor"/>
      </rPr>
      <t>. Lima, Perú.</t>
    </r>
  </si>
  <si>
    <r>
      <t xml:space="preserve">Banco Central de Reserva del Perú. (2023). </t>
    </r>
    <r>
      <rPr>
        <i/>
        <sz val="11"/>
        <color theme="1"/>
        <rFont val="Calibri"/>
        <family val="2"/>
        <scheme val="minor"/>
      </rPr>
      <t>Memoria 2022</t>
    </r>
    <r>
      <rPr>
        <sz val="11"/>
        <color theme="1"/>
        <rFont val="Calibri"/>
        <family val="2"/>
        <scheme val="minor"/>
      </rPr>
      <t>. Lima, Perú.</t>
    </r>
  </si>
  <si>
    <r>
      <t xml:space="preserve">Banco Central de Reserva del Perú. (2024). </t>
    </r>
    <r>
      <rPr>
        <i/>
        <sz val="11"/>
        <color theme="1"/>
        <rFont val="Calibri"/>
        <family val="2"/>
        <scheme val="minor"/>
      </rPr>
      <t>Memoria 2023</t>
    </r>
    <r>
      <rPr>
        <sz val="11"/>
        <color theme="1"/>
        <rFont val="Calibri"/>
        <family val="2"/>
        <scheme val="minor"/>
      </rPr>
      <t>. Lima, Perú.</t>
    </r>
  </si>
  <si>
    <r>
      <t xml:space="preserve">Banco Central de Reserva del Perú. (2011). </t>
    </r>
    <r>
      <rPr>
        <i/>
        <sz val="11"/>
        <color theme="1"/>
        <rFont val="Calibri"/>
        <family val="2"/>
        <scheme val="minor"/>
      </rPr>
      <t>Memoria 2010</t>
    </r>
    <r>
      <rPr>
        <sz val="11"/>
        <color theme="1"/>
        <rFont val="Calibri"/>
        <family val="2"/>
        <scheme val="minor"/>
      </rPr>
      <t>. Lima, Perú.</t>
    </r>
  </si>
  <si>
    <t>REFERENCIA:</t>
  </si>
  <si>
    <t>Tabla 2</t>
  </si>
  <si>
    <t>IGBVL (Rentabilidad %)</t>
  </si>
  <si>
    <t>Verificación Histórica (El "Porqué" del dato)</t>
  </si>
  <si>
    <t>Recuperación post-shock y venta de empresas públicas (CPT).</t>
  </si>
  <si>
    <t>Efecto Tequila (México) impacta la bolsa, pero no la economía real.</t>
  </si>
  <si>
    <t>Ajuste fiscal (Carta de Intención FMI).</t>
  </si>
  <si>
    <t>Crecimiento fuerte previo a la Crisis Asiática.</t>
  </si>
  <si>
    <t>Recesión técnica y devaluación brasileña.</t>
  </si>
  <si>
    <t>Transición democrática e incertidumbre.</t>
  </si>
  <si>
    <t>Inicio del ciclo expansivo (Metas de Inflación).</t>
  </si>
  <si>
    <t>Rally alcista por precios de minerales.</t>
  </si>
  <si>
    <t>Crecimiento sostenido de inversión privada.</t>
  </si>
  <si>
    <t>Perú obtiene el Grado de Inversión.</t>
  </si>
  <si>
    <t>Rebote técnico masivo de la bolsa tras el crash.</t>
  </si>
  <si>
    <t>Recuperación en "V" de la economía.</t>
  </si>
  <si>
    <t>Demanda interna sostiene el PBI.</t>
  </si>
  <si>
    <t>"Taper Tantrum" (EE.UU. sube tasas), capitales salen de emergentes.</t>
  </si>
  <si>
    <t>Fin del ciclo de precios altos de metales.</t>
  </si>
  <si>
    <t>Choque externo severo y alza del dólar.</t>
  </si>
  <si>
    <t>Efecto "Kuczynski" (expectativa pro-mercado).</t>
  </si>
  <si>
    <t>El Niño Costero frena el PBI, pero la bolsa sube por precios del zinc/cobre.</t>
  </si>
  <si>
    <t>Guerra comercial EE.UU.-China.</t>
  </si>
  <si>
    <t>Estancamiento de la inversión pública.</t>
  </si>
  <si>
    <t>Protestas sociales y corrección global.</t>
  </si>
  <si>
    <t>Recuperación moderada.</t>
  </si>
  <si>
    <t>Tasa Interbancaria (%)</t>
  </si>
  <si>
    <t>Tipo Cambio (S/.$)</t>
  </si>
  <si>
    <t>Liquidez Total (% PBI)</t>
  </si>
  <si>
    <t>IGBVL (%)</t>
  </si>
  <si>
    <r>
      <t xml:space="preserve">Banco Central de Reserva del Perú. (1994,1995,1996,1997,1998,1999,2000,2001,2002,2003,2004,2005,2006,2007,2008,2009). </t>
    </r>
    <r>
      <rPr>
        <i/>
        <sz val="11"/>
        <color theme="1"/>
        <rFont val="Calibri"/>
        <family val="2"/>
        <scheme val="minor"/>
      </rPr>
      <t>Memoria 1994-2009</t>
    </r>
    <r>
      <rPr>
        <sz val="11"/>
        <color theme="1"/>
        <rFont val="Calibri"/>
        <family val="2"/>
        <scheme val="minor"/>
      </rPr>
      <t xml:space="preserve"> Lima, Perú.</t>
    </r>
  </si>
  <si>
    <t>Principales Indicadores Macroeconómicos del Perú (1994-2024)</t>
  </si>
  <si>
    <t>Balanza Comercial (X)</t>
  </si>
  <si>
    <t>Resultado Fiscal (Y)</t>
  </si>
  <si>
    <t xml:space="preserve">Promedio Y </t>
  </si>
  <si>
    <t>Promedio X</t>
  </si>
  <si>
    <t>X-Xi</t>
  </si>
  <si>
    <t>Y -Yi</t>
  </si>
  <si>
    <t>x^2</t>
  </si>
  <si>
    <t>SUMA</t>
  </si>
  <si>
    <t>Resultados Econométricos</t>
  </si>
  <si>
    <t>Ecuación Final del Modelo:</t>
  </si>
  <si>
    <t>$$Fiscal_t = -1.2415 - 0.000021 \cdot (Balanza\_Comercial_t)$$</t>
  </si>
  <si>
    <t>Resultado del Modelo de Regresión Lineal</t>
  </si>
  <si>
    <r>
      <t xml:space="preserve">El gráfico revela una </t>
    </r>
    <r>
      <rPr>
        <b/>
        <sz val="11"/>
        <color theme="1"/>
        <rFont val="Calibri"/>
        <family val="2"/>
        <scheme val="minor"/>
      </rPr>
      <t>paradoja fiscal interesante</t>
    </r>
    <r>
      <rPr>
        <sz val="11"/>
        <color theme="1"/>
        <rFont val="Calibri"/>
        <family val="2"/>
        <scheme val="minor"/>
      </rPr>
      <t xml:space="preserve"> que refuerza tu tesis de "desacople", incluso dentro de las cuentas macroeconómicas.</t>
    </r>
  </si>
  <si>
    <r>
      <t>Intercepto (</t>
    </r>
    <r>
      <rPr>
        <sz val="11"/>
        <color theme="1"/>
        <rFont val="Arial"/>
        <family val="2"/>
      </rPr>
      <t>beta0</t>
    </r>
    <r>
      <rPr>
        <sz val="11"/>
        <color theme="1"/>
        <rFont val="Calibri"/>
        <family val="2"/>
        <scheme val="minor"/>
      </rPr>
      <t>)</t>
    </r>
  </si>
  <si>
    <r>
      <t>Pendiente (</t>
    </r>
    <r>
      <rPr>
        <sz val="11"/>
        <color theme="1"/>
        <rFont val="Arial"/>
        <family val="2"/>
      </rPr>
      <t>beta1</t>
    </r>
    <r>
      <rPr>
        <sz val="11"/>
        <color theme="1"/>
        <rFont val="Calibri"/>
        <family val="2"/>
        <scheme val="minor"/>
      </rPr>
      <t>)</t>
    </r>
  </si>
  <si>
    <t>Correlación (r)</t>
  </si>
  <si>
    <t>Bondad de Ajuste (R^2)</t>
  </si>
  <si>
    <t>Variable X (Independiente)Balanza Comercial (Millones US$)</t>
  </si>
  <si>
    <t>Variable Y (Dependiente)Resultado Fiscal (% PBI)</t>
  </si>
  <si>
    <t>Crisis: Fenómeno El Niño + Crisis Rusa.</t>
  </si>
  <si>
    <t>Crisis Política: Caída del régimen Fujimori desploma la bolsa.</t>
  </si>
  <si>
    <t>Boom: Inicio del superciclo de commodities.</t>
  </si>
  <si>
    <t>Euforia: Máximo histórico de la bolsa (elecciones + China).</t>
  </si>
  <si>
    <t>La Gran Prueba: PBI récord histórico (9.8%) vs Crash Global (-59.8%).</t>
  </si>
  <si>
    <t>Desacople Político: Gana Humala, la bolsa cae por miedo, el PBI sigue fuerte.</t>
  </si>
  <si>
    <t>Paradoja COVID: Economía colapsa (-11%), Bolsa sube levemente (+1.4%).</t>
  </si>
  <si>
    <t>Desacople Extremo: Rebote récord del PBI vs Fuga de capitales (Castillo).</t>
  </si>
  <si>
    <t>Recesión vs Bolsa: PBI cae, pero la Bolsa sube 22% (mineras).</t>
  </si>
  <si>
    <t>2. Especificación Matemática del Modelo
Para calcular la recta de regresión, se utilizó el Método de Mínimos Cuadrados Ordinarios (MCO)                                                                                                                                                                L a Ecuación Teórica: Yt = beta0 + beta1Xt + errort</t>
  </si>
  <si>
    <t>Fórmulas de los Estimadores:                                                                                                                                                                                              Pendiente (beta1): Mide cuánto cambia el déficit fiscal (Y) por cada millón de dólares extra en la balanza comercial (X).                                                        beta1 = Sum_{i=1}^{n} (X_i - \bar{X})(Y_i - \bar{Y})}{\sum_{i=1}^{n} (X_i - \bar{X})^2} = \frac{Cov(X,Y)}{Var(X)}                                                         Intercepto (beta0): Es el valor esperado del resultado fiscal si la balanza comercial fuera cero.                                                                                               beta0 = barY - beta1*bar X                                                                                                                                                                                                   Coeficiente de Correlación de Pearson (r): Mide la fuerza de la relación lineal.                                                                                                           r = sum (Xi - \bar{X})(Y_i - \bar{Y})}{\sqrt{\sum (X_i - \bar{X})^2 \sum (Yi - bar{Y})^2}                                                                                        Coeficiente de Determinación (R^2): Indica qué porcentaje de la variabilidad del resultado fiscal es explicada por la balanza comercial.          R^2 = r^2</t>
  </si>
  <si>
    <t>DATA MEMORIAS 1994 - 2024</t>
  </si>
  <si>
    <r>
      <t xml:space="preserve">El modelo explica solo el </t>
    </r>
    <r>
      <rPr>
        <b/>
        <sz val="11"/>
        <color theme="1"/>
        <rFont val="Calibri"/>
        <family val="2"/>
        <scheme val="minor"/>
      </rPr>
      <t>0.29%</t>
    </r>
    <r>
      <rPr>
        <sz val="11"/>
        <color theme="1"/>
        <rFont val="Calibri"/>
        <family val="2"/>
        <scheme val="minor"/>
      </rPr>
      <t xml:space="preserve"> de la realidad. El sector externo </t>
    </r>
    <r>
      <rPr>
        <b/>
        <sz val="11"/>
        <color theme="1"/>
        <rFont val="Calibri"/>
        <family val="2"/>
        <scheme val="minor"/>
      </rPr>
      <t>no determina</t>
    </r>
    <r>
      <rPr>
        <sz val="11"/>
        <color theme="1"/>
        <rFont val="Calibri"/>
        <family val="2"/>
        <scheme val="minor"/>
      </rPr>
      <t xml:space="preserve"> la disciplina fiscal.</t>
    </r>
  </si>
  <si>
    <r>
      <t xml:space="preserve">Existe una </t>
    </r>
    <r>
      <rPr>
        <b/>
        <sz val="11"/>
        <color theme="1"/>
        <rFont val="Calibri"/>
        <family val="2"/>
        <scheme val="minor"/>
      </rPr>
      <t>correlación nula</t>
    </r>
    <r>
      <rPr>
        <sz val="11"/>
        <color theme="1"/>
        <rFont val="Calibri"/>
        <family val="2"/>
        <scheme val="minor"/>
      </rPr>
      <t xml:space="preserve"> (y ligeramente negativa). No hay relación lineal.</t>
    </r>
  </si>
  <si>
    <r>
      <t xml:space="preserve">Si la Balanza Comercial fuera 0, el Perú tendría un déficit fiscal estructural de </t>
    </r>
    <r>
      <rPr>
        <b/>
        <sz val="11"/>
        <color theme="1"/>
        <rFont val="Calibri"/>
        <family val="2"/>
        <scheme val="minor"/>
      </rPr>
      <t>-1.24%</t>
    </r>
    <r>
      <rPr>
        <sz val="11"/>
        <color theme="1"/>
        <rFont val="Calibri"/>
        <family val="2"/>
        <scheme val="minor"/>
      </rPr>
      <t xml:space="preserve"> del PBI.</t>
    </r>
  </si>
  <si>
    <t>Por cada US$ 1 millón adicional de superávit comercial, el resultado fiscal disminuye (empeora) marginalmente en 0.000021 puntos porcentuales.</t>
  </si>
  <si>
    <t>Tabla 3. Desacople Estructural: Economía Real vs. Financiera (1994-2024)</t>
  </si>
  <si>
    <t>Fuente: Elaboración propia con datos de Memorias BCRP y SMV.</t>
  </si>
  <si>
    <t>Brecha de Desacople (Puntos Porcentuales)</t>
  </si>
  <si>
    <t>Interpretación del Ciclo</t>
  </si>
  <si>
    <r>
      <t>Acople positivo:</t>
    </r>
    <r>
      <rPr>
        <sz val="11"/>
        <color theme="1"/>
        <rFont val="Arial"/>
        <family val="2"/>
      </rPr>
      <t xml:space="preserve"> Boom real y financiero post-shock.</t>
    </r>
  </si>
  <si>
    <t>Efecto Tequila: Bolsa cae, economía resiste.</t>
  </si>
  <si>
    <t>Crecimiento estable pre-crisis.</t>
  </si>
  <si>
    <t>Crisis Gemela (Rusa + El Niño).</t>
  </si>
  <si>
    <t>Estabilización.</t>
  </si>
  <si>
    <t>Crisis Política (Fin del régimen).</t>
  </si>
  <si>
    <t>Incertidumbre de transición.</t>
  </si>
  <si>
    <t>Inicio del ciclo expansivo.</t>
  </si>
  <si>
    <r>
      <t>Inicio del Desacople:</t>
    </r>
    <r>
      <rPr>
        <sz val="11"/>
        <color theme="1"/>
        <rFont val="Arial"/>
        <family val="2"/>
      </rPr>
      <t xml:space="preserve"> La bolsa anticipa el boom minero.</t>
    </r>
  </si>
  <si>
    <t>Rally de materias primas.</t>
  </si>
  <si>
    <t>Crecimiento robusto.</t>
  </si>
  <si>
    <r>
      <t>Euforia Máxima:</t>
    </r>
    <r>
      <rPr>
        <sz val="11"/>
        <color theme="1"/>
        <rFont val="Arial"/>
        <family val="2"/>
      </rPr>
      <t xml:space="preserve"> La brecha más grande de la historia.</t>
    </r>
  </si>
  <si>
    <t>Aterrizaje suave bursátil.</t>
  </si>
  <si>
    <r>
      <t>Desacople Inverso:</t>
    </r>
    <r>
      <rPr>
        <sz val="11"/>
        <color theme="1"/>
        <rFont val="Arial"/>
        <family val="2"/>
      </rPr>
      <t xml:space="preserve"> PBI Récord (9.8%) vs Crash Global.</t>
    </r>
  </si>
  <si>
    <t>Rebote técnico masivo.</t>
  </si>
  <si>
    <t>Recuperación post-crisis global.</t>
  </si>
  <si>
    <r>
      <t>Shock Político:</t>
    </r>
    <r>
      <rPr>
        <sz val="11"/>
        <color theme="1"/>
        <rFont val="Arial"/>
        <family val="2"/>
      </rPr>
      <t xml:space="preserve"> PBI crece fuerte, Bolsa colapsa (Humala).</t>
    </r>
  </si>
  <si>
    <t>Convergencia momentánea.</t>
  </si>
  <si>
    <t>Fin del "Súper Ciclo".</t>
  </si>
  <si>
    <t>Enfriamiento económico.</t>
  </si>
  <si>
    <t>Crisis de precios de metales.</t>
  </si>
  <si>
    <t>Expectativa política positiva (PPK).</t>
  </si>
  <si>
    <t>PBI golpeado (Niño), Bolsa sube por Zinc/Cobre.</t>
  </si>
  <si>
    <t>Estancamiento bursátil.</t>
  </si>
  <si>
    <t>Bajo crecimiento en ambos frentes.</t>
  </si>
  <si>
    <r>
      <t>Paradoja COVID:</t>
    </r>
    <r>
      <rPr>
        <sz val="11"/>
        <color theme="1"/>
        <rFont val="Arial"/>
        <family val="2"/>
      </rPr>
      <t xml:space="preserve"> Economía cerrada, Bolsa positiva.</t>
    </r>
  </si>
  <si>
    <r>
      <t>Desacople Político II:</t>
    </r>
    <r>
      <rPr>
        <sz val="11"/>
        <color theme="1"/>
        <rFont val="Arial"/>
        <family val="2"/>
      </rPr>
      <t xml:space="preserve"> PBI rebota, capitales huyen (Castillo).</t>
    </r>
  </si>
  <si>
    <t>Estancamiento sincronizado.</t>
  </si>
  <si>
    <r>
      <t>Recesión Desacoplada:</t>
    </r>
    <r>
      <rPr>
        <sz val="11"/>
        <color theme="1"/>
        <rFont val="Arial"/>
        <family val="2"/>
      </rPr>
      <t xml:space="preserve"> PBI cae, Bolsa sube (Minería).</t>
    </r>
  </si>
  <si>
    <t>Recuperación divergente.</t>
  </si>
  <si>
    <t>Usa la columna "Brecha de Desacople" para argumentar:
Volatilidad: "Mientras el PBI mantiene una desviación estándar baja, la brecha de desacople oscila entre +160 puntos (2006) y -69 puntos (2008), lo que demuestra que el mercado de capitales amplifica la volatilidad externa en lugar de absorberla".
Ruptura Reciente: "En 2021 y 2023, la brecha cambia de signo inversamente al ciclo económico, confirmando que factores idiosincrásicos (política, precios de metales) dominan sobre los fundamentos macroeconómicos locales".</t>
  </si>
  <si>
    <r>
      <rPr>
        <b/>
        <sz val="11"/>
        <color theme="1"/>
        <rFont val="Calibri"/>
        <family val="2"/>
        <scheme val="minor"/>
      </rPr>
      <t>Interpretación Visual:</t>
    </r>
    <r>
      <rPr>
        <sz val="11"/>
        <color theme="1"/>
        <rFont val="Calibri"/>
        <family val="2"/>
        <scheme val="minor"/>
      </rPr>
      <t xml:space="preserve"> Observa cómo la línea roja es casi horizontal (pendiente muy suave). Esto significa que no importa cuánto crezca el PBI (eje X), la Bolsa (eje Y)  puede estar en cualquier parte (muy arriba o muy abajo). Los puntos están totalmente dispersos, lo que visualmente confirma el desacople .                                                                                                                                                                                                                                                                                                                                                                                                                                                                                                                                              </t>
    </r>
    <r>
      <rPr>
        <b/>
        <sz val="11"/>
        <color theme="1"/>
        <rFont val="Calibri"/>
        <family val="2"/>
        <scheme val="minor"/>
      </rPr>
      <t xml:space="preserve">Estadísticas del Modelo (La Prueba Matemática)   </t>
    </r>
    <r>
      <rPr>
        <sz val="11"/>
        <color theme="1"/>
        <rFont val="Calibri"/>
        <family val="2"/>
        <scheme val="minor"/>
      </rPr>
      <t xml:space="preserve">                                                                                                                                                                                                                                                Artículo en REMEF, estos son los números a reportar:                                                                                                                                                                                                                                                           </t>
    </r>
    <r>
      <rPr>
        <b/>
        <sz val="11"/>
        <color theme="1"/>
        <rFont val="Calibri"/>
        <family val="2"/>
        <scheme val="minor"/>
      </rPr>
      <t>Ecuación de la Recta:</t>
    </r>
    <r>
      <rPr>
        <sz val="11"/>
        <color theme="1"/>
        <rFont val="Calibri"/>
        <family val="2"/>
        <scheme val="minor"/>
      </rPr>
      <t xml:space="preserve">  IGBVL_t = 12.98 + 1.06* PBI_t + error_t                                                                                                                                                                                                        (Interpretación: Si el PBI fuera 0%, la bolsa rendiría teóricamente un 12.98% por factores inerciales o externos).                                                                                                                   </t>
    </r>
    <r>
      <rPr>
        <b/>
        <sz val="11"/>
        <color theme="1"/>
        <rFont val="Calibri"/>
        <family val="2"/>
        <scheme val="minor"/>
      </rPr>
      <t xml:space="preserve">Pendiente (beta): </t>
    </r>
    <r>
      <rPr>
        <sz val="11"/>
        <color theme="1"/>
        <rFont val="Calibri"/>
        <family val="2"/>
        <scheme val="minor"/>
      </rPr>
      <t xml:space="preserve">1.06(Aunque es positiva, su efecto es marginal dada la enorme volatilidad de la bolsa).                                                                                                                        </t>
    </r>
    <r>
      <rPr>
        <b/>
        <sz val="11"/>
        <color theme="1"/>
        <rFont val="Calibri"/>
        <family val="2"/>
        <scheme val="minor"/>
      </rPr>
      <t xml:space="preserve">Coeficiente de Correlación de Pearson (r): </t>
    </r>
    <r>
      <rPr>
        <sz val="11"/>
        <color theme="1"/>
        <rFont val="Calibri"/>
        <family val="2"/>
        <scheme val="minor"/>
      </rPr>
      <t xml:space="preserve">0.1081(Interpretación: Correlación positiva muy débil. En ciencias sociales, una correlación menor a 0.20 se considera inexistente).                                                                                                                                                                                                                                                                                                          </t>
    </r>
    <r>
      <rPr>
        <b/>
        <sz val="11"/>
        <color theme="1"/>
        <rFont val="Calibri"/>
        <family val="2"/>
        <scheme val="minor"/>
      </rPr>
      <t xml:space="preserve">Coeficiente de Determinación (R^2): </t>
    </r>
    <r>
      <rPr>
        <sz val="11"/>
        <color theme="1"/>
        <rFont val="Calibri"/>
        <family val="2"/>
        <scheme val="minor"/>
      </rPr>
      <t>0.0117(Interpretación Clave: El crecimiento económico del Perú explica solo el 1.17% del rendimiento de su bolsa de valores. El otro 98.83% se explica por otras variables como precios de metales, política o tasas internacionales).</t>
    </r>
  </si>
  <si>
    <t>SECCIÓN 1: EVIDENCIA DESCRIPTIVA</t>
  </si>
  <si>
    <t>1. Fig 1. Ciclos Divergentes (Etiquetado):</t>
  </si>
  <si>
    <t>Mejora: He añadido las etiquetas de valor (%) en las barras del PBI (años clave: 1994, 2008, 2020) y en los puntos de la Bolsa.</t>
  </si>
  <si>
    <t>Mensaje: Se ve claramente cómo en 2023 el PBI fue -0.6% mientras la bolsa subió +22.4%.</t>
  </si>
  <si>
    <t>2. Fig 2. Correlación Estática (Con Outliers):</t>
  </si>
  <si>
    <t>Mejora: He etiquetado los años "anómalos" (outliers) como 2006, 2008 y 2021 directamente en el gráfico.</t>
  </si>
  <si>
    <t>Mensaje: La línea roja punteada es casi plana ($R^2 \approx 0.01$), probando que el crecimiento no mueve la bolsa.</t>
  </si>
  <si>
    <t>3. Fig 3. Correlación Dinámica (Con Valor Final):</t>
  </si>
  <si>
    <t>Mejora: He añadido el valor de la correlación actual (2024).</t>
  </si>
  <si>
    <t>Mensaje: La correlación hoy es bajísima comparada con los años 90. Estamos en zona de "Desacople".</t>
  </si>
  <si>
    <t>SECCIÓN 2: CANALES DE TRANSMISIÓN</t>
  </si>
  <si>
    <t>4. Fig 4. El Canal Externo:</t>
  </si>
  <si>
    <t>Mejora: Etiquetado de años clave. Muestra una relación ligeramente más fuerte que con el PBI, pero aún dispersa.</t>
  </si>
  <si>
    <t>5. Fig 5. Brecha de Volatilidad:</t>
  </si>
  <si>
    <t>Mejora: He marcado el pico máximo de volatilidad.</t>
  </si>
  <si>
    <t>Mensaje: La línea naranja (Bolsa) es una montaña rusa comparada con la línea gris (PBI).</t>
  </si>
  <si>
    <t>8. Fig 8. El Canal Monetario:</t>
  </si>
  <si>
    <t>Mejora: Etiquetado del máximo histórico del tipo de cambio (3.99 en 2021).</t>
  </si>
  <si>
    <t>Mensaje: Cuando la línea verde sube (depreciación), la línea azul punteada (bolsa) tiende a bajar.</t>
  </si>
  <si>
    <t>SECCIÓN 3: EVIDENCIA ECONOMÉTRICA (VAR)</t>
  </si>
  <si>
    <t>6. Fig 6. Función Impulso-Respuesta (FIR):</t>
  </si>
  <si>
    <t>Mejora: He añadido los valores porcentuales exactos en cada punto de la curva azul.</t>
  </si>
  <si>
    <t>Mensaje: La respuesta es cercana a 0% en todos los periodos. Un shock en el PBI no mueve la aguja de la bolsa.</t>
  </si>
  <si>
    <t>7. Fig 7. Descomposición de Varianza (FEVD):</t>
  </si>
  <si>
    <t>Mejora: He añadido los porcentajes exactos en la última barra.</t>
  </si>
  <si>
    <t>Mensaje: El gráfico muestra que más del 90% de la varianza de la bolsa (azul) se explica por sí misma (inercia), y casi nada por el PBI (gris). ¡Prueba irrefutable! deseo que vuelvas a generar las 8 gráficas generalo y explica el porque siempre la explicación y en todos los gráficos generados coloca la leyenda y coloca los datos es muy importante ya que en la explicación tengo que explicar con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</si>
</sst>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S/&quot;\ * #,##0.00_-;\-&quot;S/&quot;\ * #,##0.00_-;_-&quot;S/&quot;\ * &quot;-&quot;??_-;_-@_-"/>
    <numFmt numFmtId="168" formatCode="[$$-409]#,##0.00"/>
    <numFmt numFmtId="180" formatCode="0.00000000000E+00"/>
  </numFmts>
  <fonts count="14" x14ac:knownFonts="1">
    <font>
      <sz val="11"/>
      <color theme="1"/>
      <name val="Calibri"/>
      <family val="2"/>
      <scheme val="minor"/>
    </font>
    <font>
      <sz val="11"/>
      <color theme="1"/>
      <name val="Arial"/>
      <family val="2"/>
    </font>
    <font>
      <b/>
      <sz val="11"/>
      <color theme="1"/>
      <name val="Arial"/>
      <family val="2"/>
    </font>
    <font>
      <b/>
      <sz val="12"/>
      <color theme="1"/>
      <name val="Arial"/>
      <family val="2"/>
    </font>
    <font>
      <i/>
      <sz val="11"/>
      <color theme="1"/>
      <name val="Calibri"/>
      <family val="2"/>
      <scheme val="minor"/>
    </font>
    <font>
      <b/>
      <sz val="13.5"/>
      <color theme="1"/>
      <name val="Arial"/>
      <family val="2"/>
    </font>
    <font>
      <i/>
      <sz val="11"/>
      <color theme="1"/>
      <name val="Arial"/>
      <family val="2"/>
    </font>
    <font>
      <b/>
      <sz val="11"/>
      <color rgb="FF1F1F1F"/>
      <name val="Arial"/>
      <family val="2"/>
    </font>
    <font>
      <b/>
      <sz val="13.5"/>
      <color theme="1"/>
      <name val="Calibri"/>
      <family val="2"/>
      <scheme val="minor"/>
    </font>
    <font>
      <sz val="11"/>
      <color theme="1"/>
      <name val="Calibri"/>
      <family val="2"/>
      <scheme val="minor"/>
    </font>
    <font>
      <b/>
      <sz val="11"/>
      <color theme="1"/>
      <name val="Calibri"/>
      <family val="2"/>
      <scheme val="minor"/>
    </font>
    <font>
      <sz val="10"/>
      <color theme="1"/>
      <name val="Arial Unicode MS"/>
      <family val="2"/>
    </font>
    <font>
      <sz val="14"/>
      <color theme="1"/>
      <name val="Calibri"/>
      <family val="2"/>
      <scheme val="minor"/>
    </font>
    <font>
      <sz val="10"/>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44" fontId="9" fillId="0" borderId="0" applyFont="0" applyFill="0" applyBorder="0" applyAlignment="0" applyProtection="0"/>
  </cellStyleXfs>
  <cellXfs count="35">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0" fontId="3" fillId="0" borderId="0" xfId="0" applyFont="1" applyAlignment="1">
      <alignment vertical="center"/>
    </xf>
    <xf numFmtId="2" fontId="1" fillId="0" borderId="1" xfId="0" applyNumberFormat="1" applyFont="1" applyBorder="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4" fillId="0" borderId="0" xfId="0" applyFont="1"/>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vertical="center"/>
    </xf>
    <xf numFmtId="0" fontId="0" fillId="0" borderId="0" xfId="0" applyAlignment="1">
      <alignment horizontal="left" vertical="center" indent="1"/>
    </xf>
    <xf numFmtId="0" fontId="10" fillId="0" borderId="0" xfId="0" applyFont="1" applyAlignment="1">
      <alignment horizontal="left" vertical="center" indent="1"/>
    </xf>
    <xf numFmtId="0" fontId="0" fillId="0" borderId="0" xfId="0" applyAlignment="1">
      <alignment horizontal="left" vertical="center" indent="2"/>
    </xf>
    <xf numFmtId="0" fontId="4" fillId="0" borderId="0" xfId="0" applyFont="1" applyAlignment="1">
      <alignment horizontal="left" vertical="center" indent="2"/>
    </xf>
    <xf numFmtId="0" fontId="11" fillId="0" borderId="0" xfId="0" applyFont="1" applyAlignment="1">
      <alignment vertical="center"/>
    </xf>
    <xf numFmtId="0" fontId="7" fillId="0" borderId="1" xfId="0" applyFont="1" applyBorder="1" applyAlignment="1">
      <alignment horizontal="center" vertical="center" wrapText="1" readingOrder="1"/>
    </xf>
    <xf numFmtId="0" fontId="0" fillId="0" borderId="0" xfId="0" applyAlignment="1">
      <alignment horizontal="center" vertical="center" wrapText="1"/>
    </xf>
    <xf numFmtId="3" fontId="1" fillId="0" borderId="1" xfId="0" applyNumberFormat="1" applyFont="1" applyBorder="1" applyAlignment="1">
      <alignment horizontal="center" vertical="center" wrapText="1"/>
    </xf>
    <xf numFmtId="0" fontId="0" fillId="2" borderId="0" xfId="0" applyFill="1" applyAlignment="1">
      <alignment horizontal="center"/>
    </xf>
    <xf numFmtId="180" fontId="0" fillId="2" borderId="0" xfId="0" applyNumberFormat="1" applyFill="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wrapText="1"/>
    </xf>
    <xf numFmtId="0" fontId="12" fillId="0" borderId="0" xfId="0" applyFont="1" applyAlignment="1">
      <alignment horizontal="left" vertical="top" wrapText="1"/>
    </xf>
    <xf numFmtId="0" fontId="2" fillId="0" borderId="0" xfId="0" applyFont="1"/>
    <xf numFmtId="168" fontId="2" fillId="0" borderId="1" xfId="0" applyNumberFormat="1" applyFont="1" applyBorder="1" applyAlignment="1">
      <alignment horizontal="center" vertical="center" wrapText="1"/>
    </xf>
    <xf numFmtId="44" fontId="2" fillId="0" borderId="1" xfId="1" applyFont="1" applyBorder="1" applyAlignment="1">
      <alignment horizontal="center" vertical="center" wrapText="1"/>
    </xf>
    <xf numFmtId="4" fontId="2" fillId="0" borderId="1" xfId="0" applyNumberFormat="1" applyFont="1" applyBorder="1" applyAlignment="1">
      <alignment horizontal="center" vertical="center" wrapText="1"/>
    </xf>
    <xf numFmtId="0" fontId="0" fillId="0" borderId="0" xfId="0" applyFont="1" applyAlignment="1">
      <alignment horizontal="left" vertical="center" wrapText="1"/>
    </xf>
    <xf numFmtId="0" fontId="13" fillId="0" borderId="0" xfId="0" applyFont="1" applyAlignment="1">
      <alignmen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195942</xdr:colOff>
      <xdr:row>73</xdr:row>
      <xdr:rowOff>163285</xdr:rowOff>
    </xdr:from>
    <xdr:to>
      <xdr:col>17</xdr:col>
      <xdr:colOff>185058</xdr:colOff>
      <xdr:row>106</xdr:row>
      <xdr:rowOff>141515</xdr:rowOff>
    </xdr:to>
    <xdr:pic>
      <xdr:nvPicPr>
        <xdr:cNvPr id="4" name="Imagen 3">
          <a:extLst>
            <a:ext uri="{FF2B5EF4-FFF2-40B4-BE49-F238E27FC236}">
              <a16:creationId xmlns:a16="http://schemas.microsoft.com/office/drawing/2014/main" id="{F2E54D39-1FA1-4A4F-8D79-308B9464F4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9485" y="26452285"/>
          <a:ext cx="10994573" cy="6596744"/>
        </a:xfrm>
        <a:prstGeom prst="rect">
          <a:avLst/>
        </a:prstGeom>
      </xdr:spPr>
    </xdr:pic>
    <xdr:clientData/>
  </xdr:twoCellAnchor>
  <xdr:twoCellAnchor editAs="oneCell">
    <xdr:from>
      <xdr:col>6</xdr:col>
      <xdr:colOff>283028</xdr:colOff>
      <xdr:row>151</xdr:row>
      <xdr:rowOff>315684</xdr:rowOff>
    </xdr:from>
    <xdr:to>
      <xdr:col>14</xdr:col>
      <xdr:colOff>25151</xdr:colOff>
      <xdr:row>172</xdr:row>
      <xdr:rowOff>315685</xdr:rowOff>
    </xdr:to>
    <xdr:pic>
      <xdr:nvPicPr>
        <xdr:cNvPr id="6" name="Imagen 5">
          <a:extLst>
            <a:ext uri="{FF2B5EF4-FFF2-40B4-BE49-F238E27FC236}">
              <a16:creationId xmlns:a16="http://schemas.microsoft.com/office/drawing/2014/main" id="{57A57433-3E3C-4CBB-9032-3CCFD1A6A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83285" y="41812027"/>
          <a:ext cx="12336895" cy="74349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19D5-D240-4047-9999-DBCDE90109FE}">
  <dimension ref="A1:T205"/>
  <sheetViews>
    <sheetView tabSelected="1" topLeftCell="B190" zoomScale="70" zoomScaleNormal="70" workbookViewId="0">
      <selection activeCell="K220" sqref="K220"/>
    </sheetView>
  </sheetViews>
  <sheetFormatPr baseColWidth="10" defaultRowHeight="14.4" x14ac:dyDescent="0.3"/>
  <cols>
    <col min="2" max="2" width="13.6640625" customWidth="1"/>
    <col min="3" max="3" width="17.5546875" customWidth="1"/>
    <col min="4" max="4" width="17.6640625" customWidth="1"/>
    <col min="5" max="5" width="25.44140625" customWidth="1"/>
    <col min="6" max="6" width="23.44140625" customWidth="1"/>
    <col min="7" max="7" width="38.77734375" customWidth="1"/>
    <col min="8" max="8" width="19.21875" customWidth="1"/>
    <col min="9" max="9" width="19.44140625" customWidth="1"/>
    <col min="10" max="10" width="17.5546875" customWidth="1"/>
    <col min="11" max="11" width="19.44140625" customWidth="1"/>
    <col min="12" max="12" width="24.109375" customWidth="1"/>
    <col min="13" max="13" width="33.33203125" customWidth="1"/>
  </cols>
  <sheetData>
    <row r="1" spans="2:20" x14ac:dyDescent="0.3">
      <c r="B1" t="s">
        <v>81</v>
      </c>
    </row>
    <row r="2" spans="2:20" ht="15" thickBot="1" x14ac:dyDescent="0.35"/>
    <row r="3" spans="2:20" ht="69" customHeight="1" thickBot="1" x14ac:dyDescent="0.35">
      <c r="B3" s="1" t="s">
        <v>0</v>
      </c>
      <c r="C3" s="20" t="s">
        <v>1</v>
      </c>
      <c r="D3" s="1" t="s">
        <v>2</v>
      </c>
      <c r="E3" s="1" t="s">
        <v>3</v>
      </c>
      <c r="F3" s="1" t="s">
        <v>4</v>
      </c>
      <c r="G3" s="20" t="s">
        <v>22</v>
      </c>
      <c r="H3" s="1" t="s">
        <v>45</v>
      </c>
      <c r="I3" s="1" t="s">
        <v>46</v>
      </c>
      <c r="J3" s="1" t="s">
        <v>47</v>
      </c>
      <c r="K3" s="1" t="s">
        <v>48</v>
      </c>
      <c r="L3" s="1" t="s">
        <v>68</v>
      </c>
      <c r="M3" s="1" t="s">
        <v>69</v>
      </c>
      <c r="P3" s="12"/>
      <c r="Q3" s="13"/>
      <c r="R3" s="12"/>
      <c r="S3" s="12"/>
      <c r="T3" s="12"/>
    </row>
    <row r="4" spans="2:20" ht="46.2" customHeight="1" thickBot="1" x14ac:dyDescent="0.35">
      <c r="B4" s="1">
        <v>1994</v>
      </c>
      <c r="C4" s="20">
        <v>12.9</v>
      </c>
      <c r="D4" s="20">
        <v>15.4</v>
      </c>
      <c r="E4" s="1">
        <v>-2.6</v>
      </c>
      <c r="F4" s="30">
        <v>-997</v>
      </c>
      <c r="G4" s="20" t="s">
        <v>23</v>
      </c>
      <c r="H4" s="1">
        <v>32.14</v>
      </c>
      <c r="I4" s="31">
        <v>2.1800000000000002</v>
      </c>
      <c r="J4" s="1">
        <v>13.9</v>
      </c>
      <c r="K4" s="1">
        <v>50</v>
      </c>
      <c r="L4" s="1">
        <v>-997</v>
      </c>
      <c r="M4" s="1">
        <v>-2.6</v>
      </c>
      <c r="P4" s="12"/>
      <c r="S4" s="12"/>
      <c r="T4" s="12"/>
    </row>
    <row r="5" spans="2:20" ht="44.4" customHeight="1" thickBot="1" x14ac:dyDescent="0.35">
      <c r="B5" s="1">
        <v>1995</v>
      </c>
      <c r="C5" s="20">
        <v>7</v>
      </c>
      <c r="D5" s="20">
        <v>10.199999999999999</v>
      </c>
      <c r="E5" s="1">
        <v>-2</v>
      </c>
      <c r="F5" s="30">
        <v>-2109</v>
      </c>
      <c r="G5" s="20" t="s">
        <v>24</v>
      </c>
      <c r="H5" s="1">
        <v>19.23</v>
      </c>
      <c r="I5" s="31">
        <v>2.31</v>
      </c>
      <c r="J5" s="1">
        <v>15.5</v>
      </c>
      <c r="K5" s="1">
        <v>-15</v>
      </c>
      <c r="L5" s="32">
        <v>-2109</v>
      </c>
      <c r="M5" s="1">
        <v>-2</v>
      </c>
      <c r="P5" s="12"/>
      <c r="S5" s="12"/>
      <c r="T5" s="12"/>
    </row>
    <row r="6" spans="2:20" ht="64.8" customHeight="1" thickBot="1" x14ac:dyDescent="0.35">
      <c r="B6" s="1">
        <v>1996</v>
      </c>
      <c r="C6" s="20">
        <v>2.5</v>
      </c>
      <c r="D6" s="20">
        <v>11.8</v>
      </c>
      <c r="E6" s="1">
        <v>-1</v>
      </c>
      <c r="F6" s="30">
        <v>-1967</v>
      </c>
      <c r="G6" s="20" t="s">
        <v>25</v>
      </c>
      <c r="H6" s="1">
        <v>16.350000000000001</v>
      </c>
      <c r="I6" s="31">
        <v>2.6</v>
      </c>
      <c r="J6" s="1">
        <v>18</v>
      </c>
      <c r="K6" s="1">
        <v>10</v>
      </c>
      <c r="L6" s="32">
        <v>-1967</v>
      </c>
      <c r="M6" s="1">
        <v>-1</v>
      </c>
      <c r="P6" s="12"/>
      <c r="S6" s="12"/>
      <c r="T6" s="12"/>
    </row>
    <row r="7" spans="2:20" ht="47.4" customHeight="1" thickBot="1" x14ac:dyDescent="0.35">
      <c r="B7" s="1">
        <v>1997</v>
      </c>
      <c r="C7" s="20">
        <v>7.2</v>
      </c>
      <c r="D7" s="20">
        <v>6.5</v>
      </c>
      <c r="E7" s="1">
        <v>0</v>
      </c>
      <c r="F7" s="30">
        <v>-1732</v>
      </c>
      <c r="G7" s="20" t="s">
        <v>26</v>
      </c>
      <c r="H7" s="1">
        <v>13.73</v>
      </c>
      <c r="I7" s="31">
        <v>2.72</v>
      </c>
      <c r="J7" s="1">
        <v>19.5</v>
      </c>
      <c r="K7" s="1">
        <v>15</v>
      </c>
      <c r="L7" s="32">
        <v>-1732</v>
      </c>
      <c r="M7" s="1">
        <v>0</v>
      </c>
      <c r="P7" s="12"/>
      <c r="S7" s="12"/>
      <c r="T7" s="12"/>
    </row>
    <row r="8" spans="2:20" ht="79.8" customHeight="1" thickBot="1" x14ac:dyDescent="0.35">
      <c r="B8" s="1">
        <v>1998</v>
      </c>
      <c r="C8" s="20">
        <v>-0.4</v>
      </c>
      <c r="D8" s="20">
        <v>6</v>
      </c>
      <c r="E8" s="1">
        <v>-0.8</v>
      </c>
      <c r="F8" s="30">
        <v>-2467</v>
      </c>
      <c r="G8" s="20" t="s">
        <v>70</v>
      </c>
      <c r="H8" s="1">
        <v>19.78</v>
      </c>
      <c r="I8" s="31">
        <v>3.15</v>
      </c>
      <c r="J8" s="1">
        <v>20.100000000000001</v>
      </c>
      <c r="K8" s="1">
        <v>-25</v>
      </c>
      <c r="L8" s="32">
        <v>-2467</v>
      </c>
      <c r="M8" s="1">
        <v>-0.8</v>
      </c>
      <c r="P8" s="12"/>
      <c r="S8" s="12"/>
      <c r="T8" s="12"/>
    </row>
    <row r="9" spans="2:20" ht="56.4" customHeight="1" thickBot="1" x14ac:dyDescent="0.35">
      <c r="B9" s="1">
        <v>1999</v>
      </c>
      <c r="C9" s="20">
        <v>1.5</v>
      </c>
      <c r="D9" s="20">
        <v>3.7</v>
      </c>
      <c r="E9" s="1">
        <v>-3</v>
      </c>
      <c r="F9" s="30">
        <v>-620</v>
      </c>
      <c r="G9" s="20" t="s">
        <v>27</v>
      </c>
      <c r="H9" s="1">
        <v>16.27</v>
      </c>
      <c r="I9" s="31">
        <v>3.51</v>
      </c>
      <c r="J9" s="1">
        <v>21</v>
      </c>
      <c r="K9" s="1">
        <v>5</v>
      </c>
      <c r="L9" s="1">
        <v>-620</v>
      </c>
      <c r="M9" s="1">
        <v>-3</v>
      </c>
      <c r="P9" s="12"/>
      <c r="S9" s="12"/>
      <c r="T9" s="12"/>
    </row>
    <row r="10" spans="2:20" ht="45" customHeight="1" thickBot="1" x14ac:dyDescent="0.35">
      <c r="B10" s="1">
        <v>2000</v>
      </c>
      <c r="C10" s="20">
        <v>3.1</v>
      </c>
      <c r="D10" s="20">
        <v>3.7</v>
      </c>
      <c r="E10" s="1">
        <v>-3.2</v>
      </c>
      <c r="F10" s="30">
        <v>-317</v>
      </c>
      <c r="G10" s="20" t="s">
        <v>71</v>
      </c>
      <c r="H10" s="1">
        <v>14.07</v>
      </c>
      <c r="I10" s="31">
        <v>3.53</v>
      </c>
      <c r="J10" s="1">
        <v>21.2</v>
      </c>
      <c r="K10" s="1">
        <v>-34</v>
      </c>
      <c r="L10" s="1">
        <v>-317</v>
      </c>
      <c r="M10" s="1">
        <v>-3.2</v>
      </c>
      <c r="P10" s="12"/>
      <c r="S10" s="12"/>
      <c r="T10" s="12"/>
    </row>
    <row r="11" spans="2:20" ht="40.799999999999997" customHeight="1" thickBot="1" x14ac:dyDescent="0.35">
      <c r="B11" s="1">
        <v>2001</v>
      </c>
      <c r="C11" s="20">
        <v>0.2</v>
      </c>
      <c r="D11" s="20">
        <v>-0.1</v>
      </c>
      <c r="E11" s="1">
        <v>-2.5</v>
      </c>
      <c r="F11" s="30">
        <v>-195</v>
      </c>
      <c r="G11" s="20" t="s">
        <v>28</v>
      </c>
      <c r="H11" s="1">
        <v>9.77</v>
      </c>
      <c r="I11" s="31">
        <v>3.44</v>
      </c>
      <c r="J11" s="1">
        <v>22.5</v>
      </c>
      <c r="K11" s="1">
        <v>2</v>
      </c>
      <c r="L11" s="1">
        <v>-195</v>
      </c>
      <c r="M11" s="1">
        <v>-2.5</v>
      </c>
      <c r="P11" s="12"/>
      <c r="S11" s="12"/>
      <c r="T11" s="12"/>
    </row>
    <row r="12" spans="2:20" ht="40.799999999999997" customHeight="1" thickBot="1" x14ac:dyDescent="0.35">
      <c r="B12" s="1">
        <v>2002</v>
      </c>
      <c r="C12" s="20">
        <v>5</v>
      </c>
      <c r="D12" s="20">
        <v>1.5</v>
      </c>
      <c r="E12" s="1">
        <v>-2.2999999999999998</v>
      </c>
      <c r="F12" s="30">
        <v>207</v>
      </c>
      <c r="G12" s="20" t="s">
        <v>29</v>
      </c>
      <c r="H12" s="1">
        <v>3.79</v>
      </c>
      <c r="I12" s="31">
        <v>3.51</v>
      </c>
      <c r="J12" s="1">
        <v>22.8</v>
      </c>
      <c r="K12" s="1">
        <v>18.3</v>
      </c>
      <c r="L12" s="1">
        <v>207</v>
      </c>
      <c r="M12" s="1">
        <v>-2.2999999999999998</v>
      </c>
      <c r="P12" s="12"/>
      <c r="S12" s="12"/>
      <c r="T12" s="12"/>
    </row>
    <row r="13" spans="2:20" ht="42.6" customHeight="1" thickBot="1" x14ac:dyDescent="0.35">
      <c r="B13" s="1">
        <v>2003</v>
      </c>
      <c r="C13" s="20">
        <v>4.0999999999999996</v>
      </c>
      <c r="D13" s="20">
        <v>2.5</v>
      </c>
      <c r="E13" s="1">
        <v>-1.8</v>
      </c>
      <c r="F13" s="30">
        <v>731</v>
      </c>
      <c r="G13" s="20" t="s">
        <v>72</v>
      </c>
      <c r="H13" s="1">
        <v>3.37</v>
      </c>
      <c r="I13" s="31">
        <v>3.46</v>
      </c>
      <c r="J13" s="1">
        <v>22.1</v>
      </c>
      <c r="K13" s="1">
        <v>75</v>
      </c>
      <c r="L13" s="1">
        <v>731</v>
      </c>
      <c r="M13" s="1">
        <v>-1.8</v>
      </c>
      <c r="P13" s="12"/>
      <c r="S13" s="12"/>
      <c r="T13" s="12"/>
    </row>
    <row r="14" spans="2:20" ht="43.8" customHeight="1" thickBot="1" x14ac:dyDescent="0.35">
      <c r="B14" s="1">
        <v>2004</v>
      </c>
      <c r="C14" s="20">
        <v>4.8</v>
      </c>
      <c r="D14" s="20">
        <v>3.5</v>
      </c>
      <c r="E14" s="1">
        <v>-1.1000000000000001</v>
      </c>
      <c r="F14" s="30">
        <v>2793</v>
      </c>
      <c r="G14" s="20" t="s">
        <v>30</v>
      </c>
      <c r="H14" s="1">
        <v>3.12</v>
      </c>
      <c r="I14" s="31">
        <v>3.28</v>
      </c>
      <c r="J14" s="1">
        <v>21.5</v>
      </c>
      <c r="K14" s="1">
        <v>52.3</v>
      </c>
      <c r="L14" s="32">
        <v>2793</v>
      </c>
      <c r="M14" s="1">
        <v>-1.1000000000000001</v>
      </c>
      <c r="P14" s="12"/>
      <c r="S14" s="12"/>
      <c r="T14" s="12"/>
    </row>
    <row r="15" spans="2:20" ht="42.6" customHeight="1" thickBot="1" x14ac:dyDescent="0.35">
      <c r="B15" s="1">
        <v>2005</v>
      </c>
      <c r="C15" s="20">
        <v>6.4</v>
      </c>
      <c r="D15" s="20">
        <v>1.5</v>
      </c>
      <c r="E15" s="1">
        <v>-0.3</v>
      </c>
      <c r="F15" s="30">
        <v>5260</v>
      </c>
      <c r="G15" s="20" t="s">
        <v>31</v>
      </c>
      <c r="H15" s="1">
        <v>3.27</v>
      </c>
      <c r="I15" s="31">
        <v>3.43</v>
      </c>
      <c r="J15" s="1">
        <v>23.4</v>
      </c>
      <c r="K15" s="1">
        <v>29.4</v>
      </c>
      <c r="L15" s="32">
        <v>5260</v>
      </c>
      <c r="M15" s="1">
        <v>-0.3</v>
      </c>
      <c r="P15" s="12"/>
      <c r="S15" s="12"/>
      <c r="T15" s="12"/>
    </row>
    <row r="16" spans="2:20" ht="58.2" customHeight="1" thickBot="1" x14ac:dyDescent="0.35">
      <c r="B16" s="1">
        <v>2006</v>
      </c>
      <c r="C16" s="20">
        <v>8</v>
      </c>
      <c r="D16" s="20">
        <v>1.1000000000000001</v>
      </c>
      <c r="E16" s="1">
        <v>2.1</v>
      </c>
      <c r="F16" s="30">
        <v>8934</v>
      </c>
      <c r="G16" s="20" t="s">
        <v>73</v>
      </c>
      <c r="H16" s="1">
        <v>4.24</v>
      </c>
      <c r="I16" s="31">
        <v>3.2</v>
      </c>
      <c r="J16" s="1">
        <v>24.8</v>
      </c>
      <c r="K16" s="1">
        <v>168</v>
      </c>
      <c r="L16" s="32">
        <v>8934</v>
      </c>
      <c r="M16" s="1">
        <v>2.1</v>
      </c>
      <c r="P16" s="12"/>
      <c r="S16" s="12"/>
      <c r="T16" s="12"/>
    </row>
    <row r="17" spans="2:20" ht="51" customHeight="1" thickBot="1" x14ac:dyDescent="0.35">
      <c r="B17" s="1">
        <v>2007</v>
      </c>
      <c r="C17" s="20">
        <v>8.9</v>
      </c>
      <c r="D17" s="20">
        <v>3.9</v>
      </c>
      <c r="E17" s="1">
        <v>3.1</v>
      </c>
      <c r="F17" s="30">
        <v>8356</v>
      </c>
      <c r="G17" s="20" t="s">
        <v>32</v>
      </c>
      <c r="H17" s="1">
        <v>4.74</v>
      </c>
      <c r="I17" s="31">
        <v>2.99</v>
      </c>
      <c r="J17" s="1">
        <v>28.5</v>
      </c>
      <c r="K17" s="1">
        <v>36</v>
      </c>
      <c r="L17" s="32">
        <v>8356</v>
      </c>
      <c r="M17" s="1">
        <v>3.1</v>
      </c>
      <c r="P17" s="12"/>
      <c r="S17" s="12"/>
      <c r="T17" s="12"/>
    </row>
    <row r="18" spans="2:20" ht="28.2" thickBot="1" x14ac:dyDescent="0.35">
      <c r="B18" s="1">
        <v>2008</v>
      </c>
      <c r="C18" s="20">
        <v>9.8000000000000007</v>
      </c>
      <c r="D18" s="20">
        <v>6.7</v>
      </c>
      <c r="E18" s="1">
        <v>2.1</v>
      </c>
      <c r="F18" s="30">
        <v>3090</v>
      </c>
      <c r="G18" s="20" t="s">
        <v>74</v>
      </c>
      <c r="H18" s="1">
        <v>6.04</v>
      </c>
      <c r="I18" s="31">
        <v>3.14</v>
      </c>
      <c r="J18" s="1">
        <v>30.1</v>
      </c>
      <c r="K18" s="1">
        <v>-59.8</v>
      </c>
      <c r="L18" s="32">
        <v>3090</v>
      </c>
      <c r="M18" s="1">
        <v>2.1</v>
      </c>
      <c r="P18" s="12"/>
      <c r="S18" s="12"/>
      <c r="T18" s="12"/>
    </row>
    <row r="19" spans="2:20" ht="28.2" thickBot="1" x14ac:dyDescent="0.35">
      <c r="B19" s="1">
        <v>2009</v>
      </c>
      <c r="C19" s="20">
        <v>0.9</v>
      </c>
      <c r="D19" s="20">
        <v>0.3</v>
      </c>
      <c r="E19" s="1">
        <v>-1.9</v>
      </c>
      <c r="F19" s="30">
        <v>5873</v>
      </c>
      <c r="G19" s="20" t="s">
        <v>33</v>
      </c>
      <c r="H19" s="1">
        <v>2.86</v>
      </c>
      <c r="I19" s="31">
        <v>2.89</v>
      </c>
      <c r="J19" s="1">
        <v>31.5</v>
      </c>
      <c r="K19" s="1">
        <v>100.9</v>
      </c>
      <c r="L19" s="32">
        <v>5873</v>
      </c>
      <c r="M19" s="1">
        <v>-1.9</v>
      </c>
      <c r="P19" s="12"/>
      <c r="S19" s="12"/>
      <c r="T19" s="12"/>
    </row>
    <row r="20" spans="2:20" ht="35.4" customHeight="1" thickBot="1" x14ac:dyDescent="0.35">
      <c r="B20" s="1">
        <v>2010</v>
      </c>
      <c r="C20" s="20">
        <v>8.8000000000000007</v>
      </c>
      <c r="D20" s="20">
        <v>2.1</v>
      </c>
      <c r="E20" s="1">
        <v>-0.3</v>
      </c>
      <c r="F20" s="30">
        <v>6750</v>
      </c>
      <c r="G20" s="20" t="s">
        <v>34</v>
      </c>
      <c r="H20" s="1">
        <v>1.99</v>
      </c>
      <c r="I20" s="31">
        <v>2.81</v>
      </c>
      <c r="J20" s="1">
        <v>30.8</v>
      </c>
      <c r="K20" s="1">
        <v>65</v>
      </c>
      <c r="L20" s="32">
        <v>6750</v>
      </c>
      <c r="M20" s="1">
        <v>-0.3</v>
      </c>
      <c r="P20" s="12"/>
      <c r="S20" s="12"/>
      <c r="T20" s="12"/>
    </row>
    <row r="21" spans="2:20" ht="56.4" customHeight="1" thickBot="1" x14ac:dyDescent="0.35">
      <c r="B21" s="1">
        <v>2011</v>
      </c>
      <c r="C21" s="20">
        <v>6.5</v>
      </c>
      <c r="D21" s="20">
        <v>4.7</v>
      </c>
      <c r="E21" s="1">
        <v>1.9</v>
      </c>
      <c r="F21" s="30">
        <v>9302</v>
      </c>
      <c r="G21" s="20" t="s">
        <v>75</v>
      </c>
      <c r="H21" s="1">
        <v>3.82</v>
      </c>
      <c r="I21" s="31">
        <v>2.7</v>
      </c>
      <c r="J21" s="1">
        <v>30.2</v>
      </c>
      <c r="K21" s="1">
        <v>-16.7</v>
      </c>
      <c r="L21" s="32">
        <v>9302</v>
      </c>
      <c r="M21" s="1">
        <v>1.9</v>
      </c>
      <c r="P21" s="12"/>
      <c r="S21" s="12"/>
      <c r="T21" s="12"/>
    </row>
    <row r="22" spans="2:20" ht="48.6" customHeight="1" thickBot="1" x14ac:dyDescent="0.35">
      <c r="B22" s="1">
        <v>2012</v>
      </c>
      <c r="C22" s="20">
        <v>6</v>
      </c>
      <c r="D22" s="20">
        <v>2.7</v>
      </c>
      <c r="E22" s="1">
        <v>2.2000000000000002</v>
      </c>
      <c r="F22" s="30">
        <v>4527</v>
      </c>
      <c r="G22" s="20" t="s">
        <v>35</v>
      </c>
      <c r="H22" s="1">
        <v>4.1900000000000004</v>
      </c>
      <c r="I22" s="31">
        <v>2.5499999999999998</v>
      </c>
      <c r="J22" s="1">
        <v>32.5</v>
      </c>
      <c r="K22" s="1">
        <v>5.9</v>
      </c>
      <c r="L22" s="32">
        <v>4527</v>
      </c>
      <c r="M22" s="1">
        <v>2.2000000000000002</v>
      </c>
      <c r="P22" s="12"/>
      <c r="S22" s="12"/>
      <c r="T22" s="12"/>
    </row>
    <row r="23" spans="2:20" ht="41.4" customHeight="1" thickBot="1" x14ac:dyDescent="0.35">
      <c r="B23" s="1">
        <v>2013</v>
      </c>
      <c r="C23" s="20">
        <v>5.8</v>
      </c>
      <c r="D23" s="20">
        <v>2.9</v>
      </c>
      <c r="E23" s="1">
        <v>0.9</v>
      </c>
      <c r="F23" s="30">
        <v>-40</v>
      </c>
      <c r="G23" s="20" t="s">
        <v>36</v>
      </c>
      <c r="H23" s="1">
        <v>4.18</v>
      </c>
      <c r="I23" s="31">
        <v>2.8</v>
      </c>
      <c r="J23" s="1">
        <v>34.799999999999997</v>
      </c>
      <c r="K23" s="1">
        <v>-23.6</v>
      </c>
      <c r="L23" s="1">
        <v>-40</v>
      </c>
      <c r="M23" s="1">
        <v>0.9</v>
      </c>
      <c r="P23" s="12"/>
      <c r="S23" s="12"/>
      <c r="T23" s="12"/>
    </row>
    <row r="24" spans="2:20" ht="37.200000000000003" customHeight="1" thickBot="1" x14ac:dyDescent="0.35">
      <c r="B24" s="1">
        <v>2014</v>
      </c>
      <c r="C24" s="20">
        <v>2.4</v>
      </c>
      <c r="D24" s="20">
        <v>3.2</v>
      </c>
      <c r="E24" s="1">
        <v>-0.3</v>
      </c>
      <c r="F24" s="30">
        <v>-1355</v>
      </c>
      <c r="G24" s="20" t="s">
        <v>37</v>
      </c>
      <c r="H24" s="1">
        <v>3.79</v>
      </c>
      <c r="I24" s="31">
        <v>2.98</v>
      </c>
      <c r="J24" s="1">
        <v>36.5</v>
      </c>
      <c r="K24" s="1">
        <v>-6.1</v>
      </c>
      <c r="L24" s="32">
        <v>-1355</v>
      </c>
      <c r="M24" s="1">
        <v>-0.3</v>
      </c>
      <c r="P24" s="12"/>
      <c r="S24" s="12"/>
      <c r="T24" s="12"/>
    </row>
    <row r="25" spans="2:20" ht="28.2" thickBot="1" x14ac:dyDescent="0.35">
      <c r="B25" s="1">
        <v>2015</v>
      </c>
      <c r="C25" s="20">
        <v>3.3</v>
      </c>
      <c r="D25" s="20">
        <v>4.4000000000000004</v>
      </c>
      <c r="E25" s="1">
        <v>-2.1</v>
      </c>
      <c r="F25" s="30">
        <v>-2975</v>
      </c>
      <c r="G25" s="20" t="s">
        <v>38</v>
      </c>
      <c r="H25" s="1">
        <v>3.45</v>
      </c>
      <c r="I25" s="31">
        <v>3.41</v>
      </c>
      <c r="J25" s="1">
        <v>39.200000000000003</v>
      </c>
      <c r="K25" s="1">
        <v>-33.4</v>
      </c>
      <c r="L25" s="32">
        <v>-2975</v>
      </c>
      <c r="M25" s="1">
        <v>-2.1</v>
      </c>
      <c r="P25" s="12"/>
      <c r="S25" s="12"/>
      <c r="T25" s="12"/>
    </row>
    <row r="26" spans="2:20" ht="28.2" thickBot="1" x14ac:dyDescent="0.35">
      <c r="B26" s="1">
        <v>2016</v>
      </c>
      <c r="C26" s="20">
        <v>4</v>
      </c>
      <c r="D26" s="20">
        <v>3.2</v>
      </c>
      <c r="E26" s="1">
        <v>-2.6</v>
      </c>
      <c r="F26" s="30">
        <v>1888</v>
      </c>
      <c r="G26" s="20" t="s">
        <v>39</v>
      </c>
      <c r="H26" s="1">
        <v>4.21</v>
      </c>
      <c r="I26" s="31">
        <v>3.36</v>
      </c>
      <c r="J26" s="1">
        <v>40.1</v>
      </c>
      <c r="K26" s="1">
        <v>58.1</v>
      </c>
      <c r="L26" s="32">
        <v>1888</v>
      </c>
      <c r="M26" s="1">
        <v>-2.6</v>
      </c>
      <c r="P26" s="12"/>
      <c r="S26" s="12"/>
      <c r="T26" s="12"/>
    </row>
    <row r="27" spans="2:20" ht="40.799999999999997" customHeight="1" thickBot="1" x14ac:dyDescent="0.35">
      <c r="B27" s="1">
        <v>2017</v>
      </c>
      <c r="C27" s="20">
        <v>2.5</v>
      </c>
      <c r="D27" s="20">
        <v>1.4</v>
      </c>
      <c r="E27" s="1">
        <v>-3.1</v>
      </c>
      <c r="F27" s="30">
        <v>6545</v>
      </c>
      <c r="G27" s="20" t="s">
        <v>40</v>
      </c>
      <c r="H27" s="1">
        <v>3.89</v>
      </c>
      <c r="I27" s="31">
        <v>3.24</v>
      </c>
      <c r="J27" s="1">
        <v>41.5</v>
      </c>
      <c r="K27" s="1">
        <v>28.3</v>
      </c>
      <c r="L27" s="32">
        <v>6545</v>
      </c>
      <c r="M27" s="1">
        <v>-3.1</v>
      </c>
      <c r="P27" s="12"/>
      <c r="S27" s="12"/>
      <c r="T27" s="12"/>
    </row>
    <row r="28" spans="2:20" ht="36.6" customHeight="1" thickBot="1" x14ac:dyDescent="0.35">
      <c r="B28" s="1">
        <v>2018</v>
      </c>
      <c r="C28" s="20">
        <v>4</v>
      </c>
      <c r="D28" s="20">
        <v>2.2000000000000002</v>
      </c>
      <c r="E28" s="1">
        <v>-2.2999999999999998</v>
      </c>
      <c r="F28" s="30">
        <v>7258</v>
      </c>
      <c r="G28" s="20" t="s">
        <v>41</v>
      </c>
      <c r="H28" s="1">
        <v>2.73</v>
      </c>
      <c r="I28" s="31">
        <v>3.37</v>
      </c>
      <c r="J28" s="1">
        <v>42</v>
      </c>
      <c r="K28" s="1">
        <v>3.1</v>
      </c>
      <c r="L28" s="32">
        <v>7258</v>
      </c>
      <c r="M28" s="1">
        <v>-2.2999999999999998</v>
      </c>
      <c r="P28" s="12"/>
      <c r="S28" s="12"/>
      <c r="T28" s="12"/>
    </row>
    <row r="29" spans="2:20" ht="40.200000000000003" customHeight="1" thickBot="1" x14ac:dyDescent="0.35">
      <c r="B29" s="1">
        <v>2019</v>
      </c>
      <c r="C29" s="20">
        <v>2.2000000000000002</v>
      </c>
      <c r="D29" s="20">
        <v>1.9</v>
      </c>
      <c r="E29" s="1">
        <v>-1.6</v>
      </c>
      <c r="F29" s="30">
        <v>6614</v>
      </c>
      <c r="G29" s="20" t="s">
        <v>42</v>
      </c>
      <c r="H29" s="1">
        <v>2.63</v>
      </c>
      <c r="I29" s="31">
        <v>3.32</v>
      </c>
      <c r="J29" s="1">
        <v>43.2</v>
      </c>
      <c r="K29" s="1">
        <v>6.1</v>
      </c>
      <c r="L29" s="32">
        <v>6614</v>
      </c>
      <c r="M29" s="1">
        <v>-1.6</v>
      </c>
      <c r="P29" s="12"/>
      <c r="S29" s="12"/>
      <c r="T29" s="12"/>
    </row>
    <row r="30" spans="2:20" ht="42.6" customHeight="1" thickBot="1" x14ac:dyDescent="0.35">
      <c r="B30" s="1">
        <v>2020</v>
      </c>
      <c r="C30" s="20">
        <v>-11</v>
      </c>
      <c r="D30" s="20">
        <v>2</v>
      </c>
      <c r="E30" s="1">
        <v>-8.9</v>
      </c>
      <c r="F30" s="30">
        <v>7773</v>
      </c>
      <c r="G30" s="20" t="s">
        <v>76</v>
      </c>
      <c r="H30" s="1">
        <v>0.77</v>
      </c>
      <c r="I30" s="31">
        <v>3.62</v>
      </c>
      <c r="J30" s="1">
        <v>54.1</v>
      </c>
      <c r="K30" s="1">
        <v>1.4</v>
      </c>
      <c r="L30" s="32">
        <v>7773</v>
      </c>
      <c r="M30" s="1">
        <v>-8.9</v>
      </c>
      <c r="P30" s="12"/>
      <c r="S30" s="12"/>
      <c r="T30" s="12"/>
    </row>
    <row r="31" spans="2:20" ht="61.2" customHeight="1" thickBot="1" x14ac:dyDescent="0.35">
      <c r="B31" s="1">
        <v>2021</v>
      </c>
      <c r="C31" s="20">
        <v>13.6</v>
      </c>
      <c r="D31" s="20">
        <v>6.4</v>
      </c>
      <c r="E31" s="1">
        <v>-2.5</v>
      </c>
      <c r="F31" s="30">
        <v>15260</v>
      </c>
      <c r="G31" s="20" t="s">
        <v>77</v>
      </c>
      <c r="H31" s="1">
        <v>0.89</v>
      </c>
      <c r="I31" s="31">
        <v>3.99</v>
      </c>
      <c r="J31" s="1">
        <v>48.5</v>
      </c>
      <c r="K31" s="1">
        <v>-11.2</v>
      </c>
      <c r="L31" s="32">
        <v>15260</v>
      </c>
      <c r="M31" s="1">
        <v>-2.5</v>
      </c>
      <c r="P31" s="12"/>
      <c r="S31" s="12"/>
      <c r="T31" s="12"/>
    </row>
    <row r="32" spans="2:20" ht="37.799999999999997" customHeight="1" thickBot="1" x14ac:dyDescent="0.35">
      <c r="B32" s="1">
        <v>2022</v>
      </c>
      <c r="C32" s="20">
        <v>2.7</v>
      </c>
      <c r="D32" s="20">
        <v>8.5</v>
      </c>
      <c r="E32" s="1">
        <v>-1.7</v>
      </c>
      <c r="F32" s="30">
        <v>10332</v>
      </c>
      <c r="G32" s="20" t="s">
        <v>43</v>
      </c>
      <c r="H32" s="1">
        <v>5.27</v>
      </c>
      <c r="I32" s="31">
        <v>3.81</v>
      </c>
      <c r="J32" s="1">
        <v>45.2</v>
      </c>
      <c r="K32" s="1">
        <v>3.5</v>
      </c>
      <c r="L32" s="32">
        <v>10332</v>
      </c>
      <c r="M32" s="1">
        <v>-1.7</v>
      </c>
      <c r="P32" s="12"/>
      <c r="S32" s="12"/>
      <c r="T32" s="12"/>
    </row>
    <row r="33" spans="2:20" ht="49.2" customHeight="1" thickBot="1" x14ac:dyDescent="0.35">
      <c r="B33" s="1">
        <v>2023</v>
      </c>
      <c r="C33" s="20">
        <v>-0.6</v>
      </c>
      <c r="D33" s="20">
        <v>3.2</v>
      </c>
      <c r="E33" s="1">
        <v>-2.8</v>
      </c>
      <c r="F33" s="30">
        <v>17402</v>
      </c>
      <c r="G33" s="20" t="s">
        <v>78</v>
      </c>
      <c r="H33" s="1">
        <v>7.29</v>
      </c>
      <c r="I33" s="31">
        <v>3.71</v>
      </c>
      <c r="J33" s="1">
        <v>44.1</v>
      </c>
      <c r="K33" s="1">
        <v>22.4</v>
      </c>
      <c r="L33" s="32">
        <v>17402</v>
      </c>
      <c r="M33" s="1">
        <v>-2.8</v>
      </c>
      <c r="P33" s="12"/>
      <c r="S33" s="12"/>
      <c r="T33" s="12"/>
    </row>
    <row r="34" spans="2:20" ht="46.2" customHeight="1" thickBot="1" x14ac:dyDescent="0.35">
      <c r="B34" s="1">
        <v>2024</v>
      </c>
      <c r="C34" s="20">
        <v>3</v>
      </c>
      <c r="D34" s="20">
        <v>2.4</v>
      </c>
      <c r="E34" s="1">
        <v>-2.8</v>
      </c>
      <c r="F34" s="30">
        <v>18500</v>
      </c>
      <c r="G34" s="20" t="s">
        <v>44</v>
      </c>
      <c r="H34" s="1">
        <v>6.05</v>
      </c>
      <c r="I34" s="31">
        <v>3.74</v>
      </c>
      <c r="J34" s="1">
        <v>44.5</v>
      </c>
      <c r="K34" s="1">
        <v>15</v>
      </c>
      <c r="L34" s="32">
        <v>18500</v>
      </c>
      <c r="M34" s="1">
        <v>-2.8</v>
      </c>
      <c r="P34" s="12"/>
      <c r="S34" s="12"/>
      <c r="T34" s="12"/>
    </row>
    <row r="35" spans="2:20" x14ac:dyDescent="0.3">
      <c r="B35" s="21"/>
      <c r="C35" s="21"/>
      <c r="D35" s="21"/>
      <c r="E35" s="21"/>
      <c r="F35" s="21"/>
      <c r="G35" s="21"/>
      <c r="H35" s="21"/>
      <c r="I35" s="21"/>
      <c r="J35" s="21"/>
      <c r="K35" s="21"/>
    </row>
    <row r="36" spans="2:20" ht="15" customHeight="1" x14ac:dyDescent="0.3">
      <c r="B36" t="s">
        <v>19</v>
      </c>
      <c r="C36" s="21"/>
      <c r="D36" s="21"/>
      <c r="E36" s="21"/>
      <c r="F36" s="21"/>
      <c r="G36" s="21"/>
      <c r="H36" s="21"/>
      <c r="I36" s="21"/>
      <c r="J36" s="21"/>
      <c r="K36" s="21"/>
    </row>
    <row r="37" spans="2:20" ht="15" customHeight="1" x14ac:dyDescent="0.3">
      <c r="B37" t="s">
        <v>49</v>
      </c>
      <c r="C37" s="21"/>
      <c r="D37" s="21"/>
      <c r="E37" s="21"/>
      <c r="F37" s="21"/>
      <c r="G37" s="21"/>
      <c r="H37" s="21"/>
      <c r="I37" s="21"/>
      <c r="J37" s="21"/>
      <c r="K37" s="21"/>
    </row>
    <row r="39" spans="2:20" ht="18" x14ac:dyDescent="0.3">
      <c r="B39" t="s">
        <v>18</v>
      </c>
      <c r="M39" s="10"/>
    </row>
    <row r="40" spans="2:20" x14ac:dyDescent="0.3">
      <c r="M40" s="15"/>
    </row>
    <row r="41" spans="2:20" x14ac:dyDescent="0.3">
      <c r="B41" t="s">
        <v>5</v>
      </c>
      <c r="M41" s="16"/>
    </row>
    <row r="42" spans="2:20" x14ac:dyDescent="0.3">
      <c r="C42" s="5"/>
      <c r="D42" s="5"/>
      <c r="E42" s="5"/>
      <c r="M42" s="15"/>
    </row>
    <row r="43" spans="2:20" x14ac:dyDescent="0.3">
      <c r="B43" t="s">
        <v>6</v>
      </c>
      <c r="C43" s="5"/>
      <c r="D43" s="5"/>
      <c r="E43" s="5"/>
      <c r="M43" s="15"/>
    </row>
    <row r="44" spans="2:20" x14ac:dyDescent="0.3">
      <c r="C44" s="5"/>
      <c r="D44" s="5"/>
      <c r="E44" s="5"/>
      <c r="M44" s="17"/>
    </row>
    <row r="45" spans="2:20" x14ac:dyDescent="0.3">
      <c r="B45" t="s">
        <v>7</v>
      </c>
      <c r="C45" s="5"/>
      <c r="D45" s="5"/>
      <c r="E45" s="5"/>
      <c r="M45" s="18"/>
    </row>
    <row r="46" spans="2:20" x14ac:dyDescent="0.3">
      <c r="M46" s="15"/>
    </row>
    <row r="47" spans="2:20" x14ac:dyDescent="0.3">
      <c r="B47" t="s">
        <v>8</v>
      </c>
      <c r="M47" s="16"/>
    </row>
    <row r="49" spans="2:13" x14ac:dyDescent="0.3">
      <c r="B49" t="s">
        <v>9</v>
      </c>
    </row>
    <row r="51" spans="2:13" ht="15" x14ac:dyDescent="0.3">
      <c r="B51" t="s">
        <v>10</v>
      </c>
      <c r="M51" s="19"/>
    </row>
    <row r="52" spans="2:13" ht="15" x14ac:dyDescent="0.3">
      <c r="M52" s="19"/>
    </row>
    <row r="53" spans="2:13" x14ac:dyDescent="0.3">
      <c r="B53" t="s">
        <v>11</v>
      </c>
      <c r="M53" s="14"/>
    </row>
    <row r="54" spans="2:13" ht="15" x14ac:dyDescent="0.3">
      <c r="M54" s="19"/>
    </row>
    <row r="55" spans="2:13" ht="15" x14ac:dyDescent="0.3">
      <c r="B55" t="s">
        <v>12</v>
      </c>
      <c r="M55" s="19"/>
    </row>
    <row r="57" spans="2:13" x14ac:dyDescent="0.3">
      <c r="B57" t="s">
        <v>13</v>
      </c>
    </row>
    <row r="59" spans="2:13" x14ac:dyDescent="0.3">
      <c r="B59" t="s">
        <v>14</v>
      </c>
    </row>
    <row r="61" spans="2:13" x14ac:dyDescent="0.3">
      <c r="B61" t="s">
        <v>15</v>
      </c>
    </row>
    <row r="63" spans="2:13" x14ac:dyDescent="0.3">
      <c r="B63" t="s">
        <v>16</v>
      </c>
      <c r="F63" s="5"/>
      <c r="G63" s="5"/>
      <c r="H63" s="5"/>
      <c r="I63" s="5"/>
    </row>
    <row r="64" spans="2:13" x14ac:dyDescent="0.3">
      <c r="F64" s="5"/>
      <c r="G64" s="5"/>
      <c r="H64" s="5"/>
      <c r="I64" s="5"/>
    </row>
    <row r="65" spans="2:9" x14ac:dyDescent="0.3">
      <c r="B65" t="s">
        <v>17</v>
      </c>
      <c r="F65" s="5"/>
      <c r="G65" s="5"/>
      <c r="H65" s="5"/>
      <c r="I65" s="5"/>
    </row>
    <row r="66" spans="2:9" x14ac:dyDescent="0.3">
      <c r="F66" s="5"/>
      <c r="G66" s="5"/>
      <c r="H66" s="5"/>
      <c r="I66" s="5"/>
    </row>
    <row r="70" spans="2:9" x14ac:dyDescent="0.3">
      <c r="B70" s="4" t="s">
        <v>20</v>
      </c>
    </row>
    <row r="71" spans="2:9" x14ac:dyDescent="0.3">
      <c r="B71" s="5"/>
    </row>
    <row r="72" spans="2:9" x14ac:dyDescent="0.3">
      <c r="B72" s="5"/>
      <c r="C72" t="s">
        <v>50</v>
      </c>
    </row>
    <row r="73" spans="2:9" ht="15" thickBot="1" x14ac:dyDescent="0.35">
      <c r="B73" s="5"/>
    </row>
    <row r="74" spans="2:9" ht="28.2" thickBot="1" x14ac:dyDescent="0.35">
      <c r="B74" s="1" t="s">
        <v>0</v>
      </c>
      <c r="C74" s="1" t="s">
        <v>51</v>
      </c>
      <c r="D74" s="1" t="s">
        <v>52</v>
      </c>
      <c r="E74" s="1" t="s">
        <v>55</v>
      </c>
      <c r="F74" s="1" t="s">
        <v>56</v>
      </c>
      <c r="G74" s="1" t="s">
        <v>57</v>
      </c>
    </row>
    <row r="75" spans="2:9" ht="15" thickBot="1" x14ac:dyDescent="0.35">
      <c r="B75" s="1">
        <v>1994</v>
      </c>
      <c r="C75" s="2">
        <v>-997</v>
      </c>
      <c r="D75" s="2">
        <v>-2.6</v>
      </c>
      <c r="E75" s="7">
        <f>C75-$C$108</f>
        <v>-5275.0967741935483</v>
      </c>
      <c r="F75" s="7">
        <f>D75-$C$109</f>
        <v>-1.2709677419354839</v>
      </c>
      <c r="G75" s="7">
        <f>C75^2</f>
        <v>994009</v>
      </c>
    </row>
    <row r="76" spans="2:9" ht="15" thickBot="1" x14ac:dyDescent="0.35">
      <c r="B76" s="1">
        <v>1995</v>
      </c>
      <c r="C76" s="22">
        <v>-2109</v>
      </c>
      <c r="D76" s="2">
        <v>-2</v>
      </c>
      <c r="E76" s="7">
        <f t="shared" ref="E76:E105" si="0">C76-$C$108</f>
        <v>-6387.0967741935483</v>
      </c>
      <c r="F76" s="7">
        <f t="shared" ref="F76:F105" si="1">D76-$C$109</f>
        <v>-0.67096774193548381</v>
      </c>
      <c r="G76" s="7">
        <f t="shared" ref="G76:G105" si="2">C76^2</f>
        <v>4447881</v>
      </c>
    </row>
    <row r="77" spans="2:9" ht="15" thickBot="1" x14ac:dyDescent="0.35">
      <c r="B77" s="1">
        <v>1996</v>
      </c>
      <c r="C77" s="22">
        <v>-1967</v>
      </c>
      <c r="D77" s="2">
        <v>-1</v>
      </c>
      <c r="E77" s="7">
        <f t="shared" si="0"/>
        <v>-6245.0967741935483</v>
      </c>
      <c r="F77" s="7">
        <f t="shared" si="1"/>
        <v>0.32903225806451619</v>
      </c>
      <c r="G77" s="7">
        <f t="shared" si="2"/>
        <v>3869089</v>
      </c>
    </row>
    <row r="78" spans="2:9" ht="15" thickBot="1" x14ac:dyDescent="0.35">
      <c r="B78" s="1">
        <v>1997</v>
      </c>
      <c r="C78" s="22">
        <v>-1732</v>
      </c>
      <c r="D78" s="2">
        <v>0</v>
      </c>
      <c r="E78" s="7">
        <f t="shared" si="0"/>
        <v>-6010.0967741935483</v>
      </c>
      <c r="F78" s="7">
        <f t="shared" si="1"/>
        <v>1.3290322580645162</v>
      </c>
      <c r="G78" s="7">
        <f t="shared" si="2"/>
        <v>2999824</v>
      </c>
    </row>
    <row r="79" spans="2:9" ht="15" thickBot="1" x14ac:dyDescent="0.35">
      <c r="B79" s="1">
        <v>1998</v>
      </c>
      <c r="C79" s="22">
        <v>-2467</v>
      </c>
      <c r="D79" s="2">
        <v>-0.8</v>
      </c>
      <c r="E79" s="7">
        <f t="shared" si="0"/>
        <v>-6745.0967741935483</v>
      </c>
      <c r="F79" s="7">
        <f t="shared" si="1"/>
        <v>0.52903225806451615</v>
      </c>
      <c r="G79" s="7">
        <f t="shared" si="2"/>
        <v>6086089</v>
      </c>
    </row>
    <row r="80" spans="2:9" ht="15" thickBot="1" x14ac:dyDescent="0.35">
      <c r="B80" s="1">
        <v>1999</v>
      </c>
      <c r="C80" s="2">
        <v>-620</v>
      </c>
      <c r="D80" s="2">
        <v>-3</v>
      </c>
      <c r="E80" s="7">
        <f t="shared" si="0"/>
        <v>-4898.0967741935483</v>
      </c>
      <c r="F80" s="7">
        <f t="shared" si="1"/>
        <v>-1.6709677419354838</v>
      </c>
      <c r="G80" s="7">
        <f t="shared" si="2"/>
        <v>384400</v>
      </c>
    </row>
    <row r="81" spans="2:7" ht="15" thickBot="1" x14ac:dyDescent="0.35">
      <c r="B81" s="1">
        <v>2000</v>
      </c>
      <c r="C81" s="2">
        <v>-317</v>
      </c>
      <c r="D81" s="2">
        <v>-3.2</v>
      </c>
      <c r="E81" s="7">
        <f t="shared" si="0"/>
        <v>-4595.0967741935483</v>
      </c>
      <c r="F81" s="7">
        <f t="shared" si="1"/>
        <v>-1.870967741935484</v>
      </c>
      <c r="G81" s="7">
        <f t="shared" si="2"/>
        <v>100489</v>
      </c>
    </row>
    <row r="82" spans="2:7" ht="15" thickBot="1" x14ac:dyDescent="0.35">
      <c r="B82" s="1">
        <v>2001</v>
      </c>
      <c r="C82" s="2">
        <v>-195</v>
      </c>
      <c r="D82" s="2">
        <v>-2.5</v>
      </c>
      <c r="E82" s="7">
        <f t="shared" si="0"/>
        <v>-4473.0967741935483</v>
      </c>
      <c r="F82" s="7">
        <f t="shared" si="1"/>
        <v>-1.1709677419354838</v>
      </c>
      <c r="G82" s="7">
        <f t="shared" si="2"/>
        <v>38025</v>
      </c>
    </row>
    <row r="83" spans="2:7" ht="15" thickBot="1" x14ac:dyDescent="0.35">
      <c r="B83" s="1">
        <v>2002</v>
      </c>
      <c r="C83" s="2">
        <v>207</v>
      </c>
      <c r="D83" s="2">
        <v>-2.2999999999999998</v>
      </c>
      <c r="E83" s="7">
        <f t="shared" si="0"/>
        <v>-4071.0967741935483</v>
      </c>
      <c r="F83" s="7">
        <f t="shared" si="1"/>
        <v>-0.97096774193548363</v>
      </c>
      <c r="G83" s="7">
        <f t="shared" si="2"/>
        <v>42849</v>
      </c>
    </row>
    <row r="84" spans="2:7" ht="15" thickBot="1" x14ac:dyDescent="0.35">
      <c r="B84" s="1">
        <v>2003</v>
      </c>
      <c r="C84" s="2">
        <v>731</v>
      </c>
      <c r="D84" s="2">
        <v>-1.8</v>
      </c>
      <c r="E84" s="7">
        <f t="shared" si="0"/>
        <v>-3547.0967741935483</v>
      </c>
      <c r="F84" s="7">
        <f t="shared" si="1"/>
        <v>-0.47096774193548385</v>
      </c>
      <c r="G84" s="7">
        <f t="shared" si="2"/>
        <v>534361</v>
      </c>
    </row>
    <row r="85" spans="2:7" ht="15" thickBot="1" x14ac:dyDescent="0.35">
      <c r="B85" s="1">
        <v>2004</v>
      </c>
      <c r="C85" s="22">
        <v>2793</v>
      </c>
      <c r="D85" s="2">
        <v>-1.1000000000000001</v>
      </c>
      <c r="E85" s="7">
        <f t="shared" si="0"/>
        <v>-1485.0967741935483</v>
      </c>
      <c r="F85" s="7">
        <f t="shared" si="1"/>
        <v>0.2290322580645161</v>
      </c>
      <c r="G85" s="7">
        <f t="shared" si="2"/>
        <v>7800849</v>
      </c>
    </row>
    <row r="86" spans="2:7" ht="15" thickBot="1" x14ac:dyDescent="0.35">
      <c r="B86" s="1">
        <v>2005</v>
      </c>
      <c r="C86" s="22">
        <v>5260</v>
      </c>
      <c r="D86" s="2">
        <v>-0.3</v>
      </c>
      <c r="E86" s="7">
        <f t="shared" si="0"/>
        <v>981.9032258064517</v>
      </c>
      <c r="F86" s="7">
        <f t="shared" si="1"/>
        <v>1.0290322580645161</v>
      </c>
      <c r="G86" s="7">
        <f t="shared" si="2"/>
        <v>27667600</v>
      </c>
    </row>
    <row r="87" spans="2:7" ht="15" thickBot="1" x14ac:dyDescent="0.35">
      <c r="B87" s="1">
        <v>2006</v>
      </c>
      <c r="C87" s="22">
        <v>8934</v>
      </c>
      <c r="D87" s="2">
        <v>2.1</v>
      </c>
      <c r="E87" s="7">
        <f t="shared" si="0"/>
        <v>4655.9032258064517</v>
      </c>
      <c r="F87" s="7">
        <f t="shared" si="1"/>
        <v>3.4290322580645163</v>
      </c>
      <c r="G87" s="7">
        <f t="shared" si="2"/>
        <v>79816356</v>
      </c>
    </row>
    <row r="88" spans="2:7" ht="15" thickBot="1" x14ac:dyDescent="0.35">
      <c r="B88" s="1">
        <v>2007</v>
      </c>
      <c r="C88" s="22">
        <v>8356</v>
      </c>
      <c r="D88" s="2">
        <v>3.1</v>
      </c>
      <c r="E88" s="7">
        <f t="shared" si="0"/>
        <v>4077.9032258064517</v>
      </c>
      <c r="F88" s="7">
        <f t="shared" si="1"/>
        <v>4.4290322580645167</v>
      </c>
      <c r="G88" s="7">
        <f t="shared" si="2"/>
        <v>69822736</v>
      </c>
    </row>
    <row r="89" spans="2:7" ht="15" thickBot="1" x14ac:dyDescent="0.35">
      <c r="B89" s="1">
        <v>2008</v>
      </c>
      <c r="C89" s="22">
        <v>3090</v>
      </c>
      <c r="D89" s="2">
        <v>2.1</v>
      </c>
      <c r="E89" s="7">
        <f t="shared" si="0"/>
        <v>-1188.0967741935483</v>
      </c>
      <c r="F89" s="7">
        <f t="shared" si="1"/>
        <v>3.4290322580645163</v>
      </c>
      <c r="G89" s="7">
        <f t="shared" si="2"/>
        <v>9548100</v>
      </c>
    </row>
    <row r="90" spans="2:7" ht="15" thickBot="1" x14ac:dyDescent="0.35">
      <c r="B90" s="1">
        <v>2009</v>
      </c>
      <c r="C90" s="22">
        <v>5873</v>
      </c>
      <c r="D90" s="2">
        <v>-1.9</v>
      </c>
      <c r="E90" s="7">
        <f t="shared" si="0"/>
        <v>1594.9032258064517</v>
      </c>
      <c r="F90" s="7">
        <f t="shared" si="1"/>
        <v>-0.57096774193548372</v>
      </c>
      <c r="G90" s="7">
        <f t="shared" si="2"/>
        <v>34492129</v>
      </c>
    </row>
    <row r="91" spans="2:7" ht="15" thickBot="1" x14ac:dyDescent="0.35">
      <c r="B91" s="1">
        <v>2010</v>
      </c>
      <c r="C91" s="22">
        <v>6750</v>
      </c>
      <c r="D91" s="2">
        <v>-0.3</v>
      </c>
      <c r="E91" s="7">
        <f t="shared" si="0"/>
        <v>2471.9032258064517</v>
      </c>
      <c r="F91" s="7">
        <f t="shared" si="1"/>
        <v>1.0290322580645161</v>
      </c>
      <c r="G91" s="7">
        <f t="shared" si="2"/>
        <v>45562500</v>
      </c>
    </row>
    <row r="92" spans="2:7" ht="15" thickBot="1" x14ac:dyDescent="0.35">
      <c r="B92" s="1">
        <v>2011</v>
      </c>
      <c r="C92" s="22">
        <v>9302</v>
      </c>
      <c r="D92" s="2">
        <v>1.9</v>
      </c>
      <c r="E92" s="7">
        <f t="shared" si="0"/>
        <v>5023.9032258064517</v>
      </c>
      <c r="F92" s="7">
        <f t="shared" si="1"/>
        <v>3.2290322580645161</v>
      </c>
      <c r="G92" s="7">
        <f t="shared" si="2"/>
        <v>86527204</v>
      </c>
    </row>
    <row r="93" spans="2:7" ht="15" thickBot="1" x14ac:dyDescent="0.35">
      <c r="B93" s="1">
        <v>2012</v>
      </c>
      <c r="C93" s="22">
        <v>4527</v>
      </c>
      <c r="D93" s="2">
        <v>2.2000000000000002</v>
      </c>
      <c r="E93" s="7">
        <f t="shared" si="0"/>
        <v>248.9032258064517</v>
      </c>
      <c r="F93" s="7">
        <f t="shared" si="1"/>
        <v>3.5290322580645164</v>
      </c>
      <c r="G93" s="7">
        <f t="shared" si="2"/>
        <v>20493729</v>
      </c>
    </row>
    <row r="94" spans="2:7" ht="15" thickBot="1" x14ac:dyDescent="0.35">
      <c r="B94" s="1">
        <v>2013</v>
      </c>
      <c r="C94" s="2">
        <v>-40</v>
      </c>
      <c r="D94" s="2">
        <v>0.9</v>
      </c>
      <c r="E94" s="7">
        <f t="shared" si="0"/>
        <v>-4318.0967741935483</v>
      </c>
      <c r="F94" s="7">
        <f t="shared" si="1"/>
        <v>2.2290322580645161</v>
      </c>
      <c r="G94" s="7">
        <f t="shared" si="2"/>
        <v>1600</v>
      </c>
    </row>
    <row r="95" spans="2:7" ht="15" thickBot="1" x14ac:dyDescent="0.35">
      <c r="B95" s="1">
        <v>2014</v>
      </c>
      <c r="C95" s="22">
        <v>-1355</v>
      </c>
      <c r="D95" s="2">
        <v>-0.3</v>
      </c>
      <c r="E95" s="7">
        <f t="shared" si="0"/>
        <v>-5633.0967741935483</v>
      </c>
      <c r="F95" s="7">
        <f t="shared" si="1"/>
        <v>1.0290322580645161</v>
      </c>
      <c r="G95" s="7">
        <f t="shared" si="2"/>
        <v>1836025</v>
      </c>
    </row>
    <row r="96" spans="2:7" ht="15" thickBot="1" x14ac:dyDescent="0.35">
      <c r="B96" s="1">
        <v>2015</v>
      </c>
      <c r="C96" s="22">
        <v>-2975</v>
      </c>
      <c r="D96" s="2">
        <v>-2.1</v>
      </c>
      <c r="E96" s="7">
        <f t="shared" si="0"/>
        <v>-7253.0967741935483</v>
      </c>
      <c r="F96" s="7">
        <f t="shared" si="1"/>
        <v>-0.7709677419354839</v>
      </c>
      <c r="G96" s="7">
        <f t="shared" si="2"/>
        <v>8850625</v>
      </c>
    </row>
    <row r="97" spans="2:8" ht="15" thickBot="1" x14ac:dyDescent="0.35">
      <c r="B97" s="1">
        <v>2016</v>
      </c>
      <c r="C97" s="22">
        <v>1888</v>
      </c>
      <c r="D97" s="2">
        <v>-2.6</v>
      </c>
      <c r="E97" s="7">
        <f t="shared" si="0"/>
        <v>-2390.0967741935483</v>
      </c>
      <c r="F97" s="7">
        <f t="shared" si="1"/>
        <v>-1.2709677419354839</v>
      </c>
      <c r="G97" s="7">
        <f t="shared" si="2"/>
        <v>3564544</v>
      </c>
    </row>
    <row r="98" spans="2:8" ht="15" thickBot="1" x14ac:dyDescent="0.35">
      <c r="B98" s="1">
        <v>2017</v>
      </c>
      <c r="C98" s="22">
        <v>6545</v>
      </c>
      <c r="D98" s="2">
        <v>-3.1</v>
      </c>
      <c r="E98" s="7">
        <f t="shared" si="0"/>
        <v>2266.9032258064517</v>
      </c>
      <c r="F98" s="7">
        <f t="shared" si="1"/>
        <v>-1.7709677419354839</v>
      </c>
      <c r="G98" s="7">
        <f t="shared" si="2"/>
        <v>42837025</v>
      </c>
    </row>
    <row r="99" spans="2:8" ht="15" thickBot="1" x14ac:dyDescent="0.35">
      <c r="B99" s="1">
        <v>2018</v>
      </c>
      <c r="C99" s="22">
        <v>7258</v>
      </c>
      <c r="D99" s="2">
        <v>-2.2999999999999998</v>
      </c>
      <c r="E99" s="7">
        <f t="shared" si="0"/>
        <v>2979.9032258064517</v>
      </c>
      <c r="F99" s="7">
        <f t="shared" si="1"/>
        <v>-0.97096774193548363</v>
      </c>
      <c r="G99" s="7">
        <f t="shared" si="2"/>
        <v>52678564</v>
      </c>
    </row>
    <row r="100" spans="2:8" ht="15" thickBot="1" x14ac:dyDescent="0.35">
      <c r="B100" s="1">
        <v>2019</v>
      </c>
      <c r="C100" s="22">
        <v>6614</v>
      </c>
      <c r="D100" s="2">
        <v>-1.6</v>
      </c>
      <c r="E100" s="7">
        <f t="shared" si="0"/>
        <v>2335.9032258064517</v>
      </c>
      <c r="F100" s="7">
        <f t="shared" si="1"/>
        <v>-0.2709677419354839</v>
      </c>
      <c r="G100" s="7">
        <f t="shared" si="2"/>
        <v>43744996</v>
      </c>
    </row>
    <row r="101" spans="2:8" ht="15" thickBot="1" x14ac:dyDescent="0.35">
      <c r="B101" s="1">
        <v>2020</v>
      </c>
      <c r="C101" s="22">
        <v>7773</v>
      </c>
      <c r="D101" s="2">
        <v>-8.9</v>
      </c>
      <c r="E101" s="7">
        <f t="shared" si="0"/>
        <v>3494.9032258064517</v>
      </c>
      <c r="F101" s="7">
        <f t="shared" si="1"/>
        <v>-7.5709677419354842</v>
      </c>
      <c r="G101" s="7">
        <f t="shared" si="2"/>
        <v>60419529</v>
      </c>
    </row>
    <row r="102" spans="2:8" ht="15" thickBot="1" x14ac:dyDescent="0.35">
      <c r="B102" s="1">
        <v>2021</v>
      </c>
      <c r="C102" s="22">
        <v>15260</v>
      </c>
      <c r="D102" s="2">
        <v>-2.5</v>
      </c>
      <c r="E102" s="7">
        <f t="shared" si="0"/>
        <v>10981.903225806451</v>
      </c>
      <c r="F102" s="7">
        <f t="shared" si="1"/>
        <v>-1.1709677419354838</v>
      </c>
      <c r="G102" s="7">
        <f t="shared" si="2"/>
        <v>232867600</v>
      </c>
    </row>
    <row r="103" spans="2:8" ht="15" thickBot="1" x14ac:dyDescent="0.35">
      <c r="B103" s="1">
        <v>2022</v>
      </c>
      <c r="C103" s="22">
        <v>10332</v>
      </c>
      <c r="D103" s="2">
        <v>-1.7</v>
      </c>
      <c r="E103" s="7">
        <f t="shared" si="0"/>
        <v>6053.9032258064517</v>
      </c>
      <c r="F103" s="7">
        <f t="shared" si="1"/>
        <v>-0.37096774193548376</v>
      </c>
      <c r="G103" s="7">
        <f t="shared" si="2"/>
        <v>106750224</v>
      </c>
    </row>
    <row r="104" spans="2:8" ht="15" thickBot="1" x14ac:dyDescent="0.35">
      <c r="B104" s="1">
        <v>2023</v>
      </c>
      <c r="C104" s="22">
        <v>17402</v>
      </c>
      <c r="D104" s="2">
        <v>-2.8</v>
      </c>
      <c r="E104" s="7">
        <f t="shared" si="0"/>
        <v>13123.903225806451</v>
      </c>
      <c r="F104" s="7">
        <f t="shared" si="1"/>
        <v>-1.4709677419354836</v>
      </c>
      <c r="G104" s="7">
        <f t="shared" si="2"/>
        <v>302829604</v>
      </c>
    </row>
    <row r="105" spans="2:8" ht="15" thickBot="1" x14ac:dyDescent="0.35">
      <c r="B105" s="1">
        <v>2024</v>
      </c>
      <c r="C105" s="22">
        <v>18500</v>
      </c>
      <c r="D105" s="2">
        <v>-2.8</v>
      </c>
      <c r="E105" s="7">
        <f t="shared" si="0"/>
        <v>14221.903225806451</v>
      </c>
      <c r="F105" s="7">
        <f t="shared" si="1"/>
        <v>-1.4709677419354836</v>
      </c>
      <c r="G105" s="7">
        <f t="shared" si="2"/>
        <v>342250000</v>
      </c>
    </row>
    <row r="106" spans="2:8" x14ac:dyDescent="0.3">
      <c r="B106" t="s">
        <v>58</v>
      </c>
      <c r="C106" s="23">
        <f>SUM(C75:C105)</f>
        <v>132621</v>
      </c>
      <c r="D106" s="23">
        <f>SUM(D75:D105)</f>
        <v>-41.2</v>
      </c>
      <c r="E106" s="24">
        <f t="shared" ref="E106:G106" si="3">SUM(E75:E105)</f>
        <v>6.184563972055912E-11</v>
      </c>
      <c r="F106" s="23">
        <f t="shared" si="3"/>
        <v>0</v>
      </c>
      <c r="G106" s="23">
        <f t="shared" si="3"/>
        <v>1599858555</v>
      </c>
    </row>
    <row r="108" spans="2:8" x14ac:dyDescent="0.3">
      <c r="B108" t="s">
        <v>54</v>
      </c>
      <c r="C108">
        <f>C106/31</f>
        <v>4278.0967741935483</v>
      </c>
    </row>
    <row r="109" spans="2:8" x14ac:dyDescent="0.3">
      <c r="B109" t="s">
        <v>53</v>
      </c>
      <c r="C109">
        <f>D106/31</f>
        <v>-1.3290322580645162</v>
      </c>
    </row>
    <row r="111" spans="2:8" x14ac:dyDescent="0.3">
      <c r="B111" s="25" t="s">
        <v>79</v>
      </c>
      <c r="C111" s="26"/>
      <c r="D111" s="26"/>
      <c r="E111" s="26"/>
      <c r="F111" s="26"/>
      <c r="G111" s="26"/>
      <c r="H111" s="26"/>
    </row>
    <row r="112" spans="2:8" x14ac:dyDescent="0.3">
      <c r="B112" s="26"/>
      <c r="C112" s="26"/>
      <c r="D112" s="26"/>
      <c r="E112" s="26"/>
      <c r="F112" s="26"/>
      <c r="G112" s="26"/>
      <c r="H112" s="26"/>
    </row>
    <row r="113" spans="2:8" x14ac:dyDescent="0.3">
      <c r="B113" s="26"/>
      <c r="C113" s="26"/>
      <c r="D113" s="26"/>
      <c r="E113" s="26"/>
      <c r="F113" s="26"/>
      <c r="G113" s="26"/>
      <c r="H113" s="26"/>
    </row>
    <row r="114" spans="2:8" x14ac:dyDescent="0.3">
      <c r="B114" s="26"/>
      <c r="C114" s="26"/>
      <c r="D114" s="26"/>
      <c r="E114" s="26"/>
      <c r="F114" s="26"/>
      <c r="G114" s="26"/>
      <c r="H114" s="26"/>
    </row>
    <row r="116" spans="2:8" ht="14.4" customHeight="1" x14ac:dyDescent="0.3">
      <c r="B116" s="28" t="s">
        <v>80</v>
      </c>
      <c r="C116" s="28"/>
      <c r="D116" s="28"/>
      <c r="E116" s="28"/>
      <c r="F116" s="28"/>
      <c r="G116" s="28"/>
      <c r="H116" s="28"/>
    </row>
    <row r="117" spans="2:8" ht="14.4" customHeight="1" x14ac:dyDescent="0.3">
      <c r="B117" s="28"/>
      <c r="C117" s="28"/>
      <c r="D117" s="28"/>
      <c r="E117" s="28"/>
      <c r="F117" s="28"/>
      <c r="G117" s="28"/>
      <c r="H117" s="28"/>
    </row>
    <row r="118" spans="2:8" ht="14.4" customHeight="1" x14ac:dyDescent="0.3">
      <c r="B118" s="28"/>
      <c r="C118" s="28"/>
      <c r="D118" s="28"/>
      <c r="E118" s="28"/>
      <c r="F118" s="28"/>
      <c r="G118" s="28"/>
      <c r="H118" s="28"/>
    </row>
    <row r="119" spans="2:8" ht="14.4" customHeight="1" x14ac:dyDescent="0.3">
      <c r="B119" s="28"/>
      <c r="C119" s="28"/>
      <c r="D119" s="28"/>
      <c r="E119" s="28"/>
      <c r="F119" s="28"/>
      <c r="G119" s="28"/>
      <c r="H119" s="28"/>
    </row>
    <row r="120" spans="2:8" ht="14.4" customHeight="1" x14ac:dyDescent="0.3">
      <c r="B120" s="28"/>
      <c r="C120" s="28"/>
      <c r="D120" s="28"/>
      <c r="E120" s="28"/>
      <c r="F120" s="28"/>
      <c r="G120" s="28"/>
      <c r="H120" s="28"/>
    </row>
    <row r="121" spans="2:8" ht="14.4" customHeight="1" x14ac:dyDescent="0.3">
      <c r="B121" s="28"/>
      <c r="C121" s="28"/>
      <c r="D121" s="28"/>
      <c r="E121" s="28"/>
      <c r="F121" s="28"/>
      <c r="G121" s="28"/>
      <c r="H121" s="28"/>
    </row>
    <row r="122" spans="2:8" ht="14.4" customHeight="1" x14ac:dyDescent="0.3">
      <c r="B122" s="28"/>
      <c r="C122" s="28"/>
      <c r="D122" s="28"/>
      <c r="E122" s="28"/>
      <c r="F122" s="28"/>
      <c r="G122" s="28"/>
      <c r="H122" s="28"/>
    </row>
    <row r="123" spans="2:8" x14ac:dyDescent="0.3">
      <c r="B123" s="28"/>
      <c r="C123" s="28"/>
      <c r="D123" s="28"/>
      <c r="E123" s="28"/>
      <c r="F123" s="28"/>
      <c r="G123" s="28"/>
      <c r="H123" s="28"/>
    </row>
    <row r="124" spans="2:8" x14ac:dyDescent="0.3">
      <c r="B124" s="28"/>
      <c r="C124" s="28"/>
      <c r="D124" s="28"/>
      <c r="E124" s="28"/>
      <c r="F124" s="28"/>
      <c r="G124" s="28"/>
      <c r="H124" s="28"/>
    </row>
    <row r="125" spans="2:8" x14ac:dyDescent="0.3">
      <c r="B125" s="28"/>
      <c r="C125" s="28"/>
      <c r="D125" s="28"/>
      <c r="E125" s="28"/>
      <c r="F125" s="28"/>
      <c r="G125" s="28"/>
      <c r="H125" s="28"/>
    </row>
    <row r="126" spans="2:8" x14ac:dyDescent="0.3">
      <c r="B126" s="28"/>
      <c r="C126" s="28"/>
      <c r="D126" s="28"/>
      <c r="E126" s="28"/>
      <c r="F126" s="28"/>
      <c r="G126" s="28"/>
      <c r="H126" s="28"/>
    </row>
    <row r="128" spans="2:8" x14ac:dyDescent="0.3">
      <c r="B128" t="s">
        <v>59</v>
      </c>
    </row>
    <row r="130" spans="2:6" x14ac:dyDescent="0.3">
      <c r="C130" t="s">
        <v>64</v>
      </c>
      <c r="E130">
        <v>-1.2415</v>
      </c>
      <c r="F130" t="s">
        <v>84</v>
      </c>
    </row>
    <row r="132" spans="2:6" x14ac:dyDescent="0.3">
      <c r="C132" t="s">
        <v>65</v>
      </c>
      <c r="E132">
        <v>-2.0999999999999999E-5</v>
      </c>
      <c r="F132" t="s">
        <v>85</v>
      </c>
    </row>
    <row r="134" spans="2:6" x14ac:dyDescent="0.3">
      <c r="C134" s="29" t="s">
        <v>66</v>
      </c>
      <c r="E134">
        <v>-5.3499999999999999E-2</v>
      </c>
      <c r="F134" t="s">
        <v>83</v>
      </c>
    </row>
    <row r="136" spans="2:6" x14ac:dyDescent="0.3">
      <c r="C136" t="s">
        <v>67</v>
      </c>
      <c r="E136">
        <v>2.8999999999999998E-3</v>
      </c>
      <c r="F136" t="s">
        <v>82</v>
      </c>
    </row>
    <row r="138" spans="2:6" x14ac:dyDescent="0.3">
      <c r="B138" t="s">
        <v>60</v>
      </c>
      <c r="D138" s="3" t="s">
        <v>61</v>
      </c>
    </row>
    <row r="140" spans="2:6" ht="18" x14ac:dyDescent="0.3">
      <c r="B140" s="10" t="s">
        <v>62</v>
      </c>
    </row>
    <row r="142" spans="2:6" x14ac:dyDescent="0.3">
      <c r="B142" t="s">
        <v>63</v>
      </c>
    </row>
    <row r="147" spans="2:6" ht="17.399999999999999" x14ac:dyDescent="0.3">
      <c r="B147" s="8" t="s">
        <v>86</v>
      </c>
    </row>
    <row r="149" spans="2:6" x14ac:dyDescent="0.3">
      <c r="B149" s="9" t="s">
        <v>87</v>
      </c>
    </row>
    <row r="150" spans="2:6" ht="15" thickBot="1" x14ac:dyDescent="0.35"/>
    <row r="151" spans="2:6" ht="28.2" thickBot="1" x14ac:dyDescent="0.35">
      <c r="B151" s="1" t="s">
        <v>0</v>
      </c>
      <c r="C151" s="1" t="s">
        <v>1</v>
      </c>
      <c r="D151" s="1" t="s">
        <v>21</v>
      </c>
      <c r="E151" s="1" t="s">
        <v>88</v>
      </c>
      <c r="F151" s="1" t="s">
        <v>89</v>
      </c>
    </row>
    <row r="152" spans="2:6" ht="42" thickBot="1" x14ac:dyDescent="0.35">
      <c r="B152" s="1">
        <v>1994</v>
      </c>
      <c r="C152" s="2">
        <v>12.9</v>
      </c>
      <c r="D152" s="2">
        <v>50</v>
      </c>
      <c r="E152" s="1">
        <v>37.1</v>
      </c>
      <c r="F152" s="1" t="s">
        <v>90</v>
      </c>
    </row>
    <row r="153" spans="2:6" ht="28.2" thickBot="1" x14ac:dyDescent="0.35">
      <c r="B153" s="1">
        <v>1995</v>
      </c>
      <c r="C153" s="2">
        <v>7</v>
      </c>
      <c r="D153" s="2">
        <v>-15</v>
      </c>
      <c r="E153" s="1">
        <v>-22</v>
      </c>
      <c r="F153" s="2" t="s">
        <v>91</v>
      </c>
    </row>
    <row r="154" spans="2:6" ht="28.2" thickBot="1" x14ac:dyDescent="0.35">
      <c r="B154" s="1">
        <v>1996</v>
      </c>
      <c r="C154" s="2">
        <v>2.5</v>
      </c>
      <c r="D154" s="2">
        <v>10</v>
      </c>
      <c r="E154" s="1">
        <v>7.5</v>
      </c>
      <c r="F154" s="2" t="s">
        <v>44</v>
      </c>
    </row>
    <row r="155" spans="2:6" ht="28.2" thickBot="1" x14ac:dyDescent="0.35">
      <c r="B155" s="1">
        <v>1997</v>
      </c>
      <c r="C155" s="2">
        <v>7.2</v>
      </c>
      <c r="D155" s="2">
        <v>15</v>
      </c>
      <c r="E155" s="1">
        <v>7.8</v>
      </c>
      <c r="F155" s="2" t="s">
        <v>92</v>
      </c>
    </row>
    <row r="156" spans="2:6" ht="28.2" thickBot="1" x14ac:dyDescent="0.35">
      <c r="B156" s="1">
        <v>1998</v>
      </c>
      <c r="C156" s="2">
        <v>-0.4</v>
      </c>
      <c r="D156" s="2">
        <v>-25</v>
      </c>
      <c r="E156" s="1">
        <v>-24.6</v>
      </c>
      <c r="F156" s="2" t="s">
        <v>93</v>
      </c>
    </row>
    <row r="157" spans="2:6" ht="15" thickBot="1" x14ac:dyDescent="0.35">
      <c r="B157" s="1">
        <v>1999</v>
      </c>
      <c r="C157" s="2">
        <v>1.5</v>
      </c>
      <c r="D157" s="2">
        <v>5</v>
      </c>
      <c r="E157" s="1">
        <v>3.5</v>
      </c>
      <c r="F157" s="2" t="s">
        <v>94</v>
      </c>
    </row>
    <row r="158" spans="2:6" ht="28.2" thickBot="1" x14ac:dyDescent="0.35">
      <c r="B158" s="1">
        <v>2000</v>
      </c>
      <c r="C158" s="2">
        <v>3.1</v>
      </c>
      <c r="D158" s="2">
        <v>-34</v>
      </c>
      <c r="E158" s="1">
        <v>-37.1</v>
      </c>
      <c r="F158" s="2" t="s">
        <v>95</v>
      </c>
    </row>
    <row r="159" spans="2:6" ht="28.2" thickBot="1" x14ac:dyDescent="0.35">
      <c r="B159" s="1">
        <v>2001</v>
      </c>
      <c r="C159" s="2">
        <v>0.2</v>
      </c>
      <c r="D159" s="2">
        <v>2</v>
      </c>
      <c r="E159" s="1">
        <v>1.8</v>
      </c>
      <c r="F159" s="2" t="s">
        <v>96</v>
      </c>
    </row>
    <row r="160" spans="2:6" ht="28.2" thickBot="1" x14ac:dyDescent="0.35">
      <c r="B160" s="1">
        <v>2002</v>
      </c>
      <c r="C160" s="2">
        <v>5</v>
      </c>
      <c r="D160" s="2">
        <v>18.3</v>
      </c>
      <c r="E160" s="1">
        <v>13.3</v>
      </c>
      <c r="F160" s="2" t="s">
        <v>97</v>
      </c>
    </row>
    <row r="161" spans="1:14" ht="42" thickBot="1" x14ac:dyDescent="0.35">
      <c r="B161" s="1">
        <v>2003</v>
      </c>
      <c r="C161" s="2">
        <v>4.0999999999999996</v>
      </c>
      <c r="D161" s="2">
        <v>75</v>
      </c>
      <c r="E161" s="1">
        <v>70.900000000000006</v>
      </c>
      <c r="F161" s="1" t="s">
        <v>98</v>
      </c>
    </row>
    <row r="162" spans="1:14" ht="28.2" thickBot="1" x14ac:dyDescent="0.35">
      <c r="A162" s="6"/>
      <c r="B162" s="1">
        <v>2004</v>
      </c>
      <c r="C162" s="2">
        <v>4.8</v>
      </c>
      <c r="D162" s="2">
        <v>52.3</v>
      </c>
      <c r="E162" s="1">
        <v>47.5</v>
      </c>
      <c r="F162" s="2" t="s">
        <v>99</v>
      </c>
    </row>
    <row r="163" spans="1:14" ht="15" thickBot="1" x14ac:dyDescent="0.35">
      <c r="B163" s="1">
        <v>2005</v>
      </c>
      <c r="C163" s="2">
        <v>6.4</v>
      </c>
      <c r="D163" s="2">
        <v>29.4</v>
      </c>
      <c r="E163" s="1">
        <v>23</v>
      </c>
      <c r="F163" s="2" t="s">
        <v>100</v>
      </c>
    </row>
    <row r="164" spans="1:14" ht="42" thickBot="1" x14ac:dyDescent="0.35">
      <c r="B164" s="1">
        <v>2006</v>
      </c>
      <c r="C164" s="2">
        <v>8</v>
      </c>
      <c r="D164" s="2">
        <v>168</v>
      </c>
      <c r="E164" s="1">
        <v>160</v>
      </c>
      <c r="F164" s="1" t="s">
        <v>101</v>
      </c>
    </row>
    <row r="165" spans="1:14" ht="15" thickBot="1" x14ac:dyDescent="0.35">
      <c r="B165" s="1">
        <v>2007</v>
      </c>
      <c r="C165" s="2">
        <v>8.9</v>
      </c>
      <c r="D165" s="2">
        <v>36</v>
      </c>
      <c r="E165" s="1">
        <v>27.1</v>
      </c>
      <c r="F165" s="2" t="s">
        <v>102</v>
      </c>
    </row>
    <row r="166" spans="1:14" ht="42" thickBot="1" x14ac:dyDescent="0.35">
      <c r="B166" s="1">
        <v>2008</v>
      </c>
      <c r="C166" s="2">
        <v>9.8000000000000007</v>
      </c>
      <c r="D166" s="2">
        <v>-59.8</v>
      </c>
      <c r="E166" s="1">
        <v>-69.599999999999994</v>
      </c>
      <c r="F166" s="1" t="s">
        <v>103</v>
      </c>
    </row>
    <row r="167" spans="1:14" ht="15" thickBot="1" x14ac:dyDescent="0.35">
      <c r="B167" s="1">
        <v>2009</v>
      </c>
      <c r="C167" s="2">
        <v>0.9</v>
      </c>
      <c r="D167" s="2">
        <v>100.9</v>
      </c>
      <c r="E167" s="1">
        <v>100</v>
      </c>
      <c r="F167" s="2" t="s">
        <v>104</v>
      </c>
    </row>
    <row r="168" spans="1:14" ht="28.2" thickBot="1" x14ac:dyDescent="0.35">
      <c r="B168" s="1">
        <v>2010</v>
      </c>
      <c r="C168" s="2">
        <v>8.8000000000000007</v>
      </c>
      <c r="D168" s="2">
        <v>65</v>
      </c>
      <c r="E168" s="1">
        <v>56.2</v>
      </c>
      <c r="F168" s="2" t="s">
        <v>105</v>
      </c>
    </row>
    <row r="169" spans="1:14" ht="42" thickBot="1" x14ac:dyDescent="0.35">
      <c r="B169" s="1">
        <v>2011</v>
      </c>
      <c r="C169" s="2">
        <v>6.5</v>
      </c>
      <c r="D169" s="2">
        <v>-16.7</v>
      </c>
      <c r="E169" s="1">
        <v>-23.2</v>
      </c>
      <c r="F169" s="1" t="s">
        <v>106</v>
      </c>
    </row>
    <row r="170" spans="1:14" ht="28.2" thickBot="1" x14ac:dyDescent="0.35">
      <c r="A170" s="10"/>
      <c r="B170" s="1">
        <v>2012</v>
      </c>
      <c r="C170" s="2">
        <v>6</v>
      </c>
      <c r="D170" s="2">
        <v>5.9</v>
      </c>
      <c r="E170" s="1">
        <v>-0.1</v>
      </c>
      <c r="F170" s="2" t="s">
        <v>107</v>
      </c>
    </row>
    <row r="171" spans="1:14" ht="15" thickBot="1" x14ac:dyDescent="0.35">
      <c r="B171" s="1">
        <v>2013</v>
      </c>
      <c r="C171" s="2">
        <v>5.8</v>
      </c>
      <c r="D171" s="2">
        <v>-23.6</v>
      </c>
      <c r="E171" s="1">
        <v>-29.4</v>
      </c>
      <c r="F171" s="2" t="s">
        <v>108</v>
      </c>
    </row>
    <row r="172" spans="1:14" ht="15" thickBot="1" x14ac:dyDescent="0.35">
      <c r="A172" s="11"/>
      <c r="B172" s="1">
        <v>2014</v>
      </c>
      <c r="C172" s="2">
        <v>2.4</v>
      </c>
      <c r="D172" s="2">
        <v>-6.1</v>
      </c>
      <c r="E172" s="1">
        <v>-8.5</v>
      </c>
      <c r="F172" s="2" t="s">
        <v>109</v>
      </c>
    </row>
    <row r="173" spans="1:14" ht="28.2" thickBot="1" x14ac:dyDescent="0.35">
      <c r="A173" s="8"/>
      <c r="B173" s="1">
        <v>2015</v>
      </c>
      <c r="C173" s="2">
        <v>3.3</v>
      </c>
      <c r="D173" s="2">
        <v>-33.4</v>
      </c>
      <c r="E173" s="1">
        <v>-36.700000000000003</v>
      </c>
      <c r="F173" s="2" t="s">
        <v>110</v>
      </c>
    </row>
    <row r="174" spans="1:14" ht="28.2" thickBot="1" x14ac:dyDescent="0.35">
      <c r="B174" s="1">
        <v>2016</v>
      </c>
      <c r="C174" s="2">
        <v>4</v>
      </c>
      <c r="D174" s="2">
        <v>58.1</v>
      </c>
      <c r="E174" s="1">
        <v>54.1</v>
      </c>
      <c r="F174" s="2" t="s">
        <v>111</v>
      </c>
    </row>
    <row r="175" spans="1:14" ht="42" customHeight="1" thickBot="1" x14ac:dyDescent="0.35">
      <c r="A175" s="9"/>
      <c r="B175" s="1">
        <v>2017</v>
      </c>
      <c r="C175" s="2">
        <v>2.5</v>
      </c>
      <c r="D175" s="2">
        <v>28.3</v>
      </c>
      <c r="E175" s="1">
        <v>25.8</v>
      </c>
      <c r="F175" s="2" t="s">
        <v>112</v>
      </c>
      <c r="H175" s="33" t="s">
        <v>121</v>
      </c>
      <c r="I175" s="33"/>
      <c r="J175" s="33"/>
      <c r="K175" s="33"/>
      <c r="L175" s="33"/>
      <c r="M175" s="33"/>
      <c r="N175" s="33"/>
    </row>
    <row r="176" spans="1:14" ht="41.4" customHeight="1" thickBot="1" x14ac:dyDescent="0.35">
      <c r="B176" s="1">
        <v>2018</v>
      </c>
      <c r="C176" s="2">
        <v>4</v>
      </c>
      <c r="D176" s="2">
        <v>3.1</v>
      </c>
      <c r="E176" s="1">
        <v>-0.9</v>
      </c>
      <c r="F176" s="2" t="s">
        <v>113</v>
      </c>
      <c r="H176" s="33"/>
      <c r="I176" s="33"/>
      <c r="J176" s="33"/>
      <c r="K176" s="33"/>
      <c r="L176" s="33"/>
      <c r="M176" s="33"/>
      <c r="N176" s="33"/>
    </row>
    <row r="177" spans="2:14" ht="48.6" customHeight="1" thickBot="1" x14ac:dyDescent="0.35">
      <c r="B177" s="1">
        <v>2019</v>
      </c>
      <c r="C177" s="2">
        <v>2.2000000000000002</v>
      </c>
      <c r="D177" s="2">
        <v>6.1</v>
      </c>
      <c r="E177" s="1">
        <v>3.9</v>
      </c>
      <c r="F177" s="2" t="s">
        <v>114</v>
      </c>
      <c r="H177" s="33"/>
      <c r="I177" s="33"/>
      <c r="J177" s="33"/>
      <c r="K177" s="33"/>
      <c r="L177" s="33"/>
      <c r="M177" s="33"/>
      <c r="N177" s="33"/>
    </row>
    <row r="178" spans="2:14" ht="42" thickBot="1" x14ac:dyDescent="0.35">
      <c r="B178" s="1">
        <v>2020</v>
      </c>
      <c r="C178" s="2">
        <v>-11</v>
      </c>
      <c r="D178" s="2">
        <v>1.4</v>
      </c>
      <c r="E178" s="1">
        <v>12.4</v>
      </c>
      <c r="F178" s="1" t="s">
        <v>115</v>
      </c>
      <c r="H178" s="33"/>
      <c r="I178" s="33"/>
      <c r="J178" s="33"/>
      <c r="K178" s="33"/>
      <c r="L178" s="33"/>
      <c r="M178" s="33"/>
      <c r="N178" s="33"/>
    </row>
    <row r="179" spans="2:14" ht="42" thickBot="1" x14ac:dyDescent="0.35">
      <c r="B179" s="1">
        <v>2021</v>
      </c>
      <c r="C179" s="2">
        <v>13.6</v>
      </c>
      <c r="D179" s="2">
        <v>-11.2</v>
      </c>
      <c r="E179" s="1">
        <v>-24.8</v>
      </c>
      <c r="F179" s="1" t="s">
        <v>116</v>
      </c>
    </row>
    <row r="180" spans="2:14" ht="28.2" thickBot="1" x14ac:dyDescent="0.35">
      <c r="B180" s="1">
        <v>2022</v>
      </c>
      <c r="C180" s="2">
        <v>2.7</v>
      </c>
      <c r="D180" s="2">
        <v>3.5</v>
      </c>
      <c r="E180" s="1">
        <v>0.8</v>
      </c>
      <c r="F180" s="2" t="s">
        <v>117</v>
      </c>
      <c r="H180" s="34" t="s">
        <v>122</v>
      </c>
    </row>
    <row r="181" spans="2:14" ht="42" thickBot="1" x14ac:dyDescent="0.35">
      <c r="B181" s="1">
        <v>2023</v>
      </c>
      <c r="C181" s="2">
        <v>-0.6</v>
      </c>
      <c r="D181" s="2">
        <v>22.4</v>
      </c>
      <c r="E181" s="1">
        <v>23</v>
      </c>
      <c r="F181" s="1" t="s">
        <v>118</v>
      </c>
      <c r="H181" s="34" t="s">
        <v>123</v>
      </c>
    </row>
    <row r="182" spans="2:14" ht="28.2" thickBot="1" x14ac:dyDescent="0.35">
      <c r="B182" s="1">
        <v>2024</v>
      </c>
      <c r="C182" s="2">
        <v>3</v>
      </c>
      <c r="D182" s="2">
        <v>15</v>
      </c>
      <c r="E182" s="1">
        <v>12</v>
      </c>
      <c r="F182" s="2" t="s">
        <v>119</v>
      </c>
      <c r="H182" s="34" t="s">
        <v>124</v>
      </c>
    </row>
    <row r="183" spans="2:14" x14ac:dyDescent="0.3">
      <c r="H183" s="34" t="s">
        <v>125</v>
      </c>
    </row>
    <row r="184" spans="2:14" x14ac:dyDescent="0.3">
      <c r="B184" s="27" t="s">
        <v>120</v>
      </c>
      <c r="C184" s="27"/>
      <c r="D184" s="27"/>
      <c r="E184" s="27"/>
      <c r="F184" s="27"/>
      <c r="H184" s="34" t="s">
        <v>126</v>
      </c>
    </row>
    <row r="185" spans="2:14" x14ac:dyDescent="0.3">
      <c r="B185" s="27"/>
      <c r="C185" s="27"/>
      <c r="D185" s="27"/>
      <c r="E185" s="27"/>
      <c r="F185" s="27"/>
      <c r="H185" s="34" t="s">
        <v>127</v>
      </c>
    </row>
    <row r="186" spans="2:14" x14ac:dyDescent="0.3">
      <c r="B186" s="27"/>
      <c r="C186" s="27"/>
      <c r="D186" s="27"/>
      <c r="E186" s="27"/>
      <c r="F186" s="27"/>
      <c r="H186" s="34" t="s">
        <v>128</v>
      </c>
    </row>
    <row r="187" spans="2:14" x14ac:dyDescent="0.3">
      <c r="B187" s="27"/>
      <c r="C187" s="27"/>
      <c r="D187" s="27"/>
      <c r="E187" s="27"/>
      <c r="F187" s="27"/>
      <c r="H187" s="34" t="s">
        <v>129</v>
      </c>
    </row>
    <row r="188" spans="2:14" x14ac:dyDescent="0.3">
      <c r="B188" s="27"/>
      <c r="C188" s="27"/>
      <c r="D188" s="27"/>
      <c r="E188" s="27"/>
      <c r="F188" s="27"/>
      <c r="H188" s="34" t="s">
        <v>130</v>
      </c>
    </row>
    <row r="189" spans="2:14" x14ac:dyDescent="0.3">
      <c r="B189" s="27"/>
      <c r="C189" s="27"/>
      <c r="D189" s="27"/>
      <c r="E189" s="27"/>
      <c r="F189" s="27"/>
      <c r="H189" s="34" t="s">
        <v>131</v>
      </c>
    </row>
    <row r="190" spans="2:14" x14ac:dyDescent="0.3">
      <c r="B190" s="27"/>
      <c r="C190" s="27"/>
      <c r="D190" s="27"/>
      <c r="E190" s="27"/>
      <c r="F190" s="27"/>
      <c r="H190" s="34" t="s">
        <v>132</v>
      </c>
    </row>
    <row r="191" spans="2:14" x14ac:dyDescent="0.3">
      <c r="B191" s="27"/>
      <c r="C191" s="27"/>
      <c r="D191" s="27"/>
      <c r="E191" s="27"/>
      <c r="F191" s="27"/>
      <c r="H191" s="34" t="s">
        <v>133</v>
      </c>
    </row>
    <row r="192" spans="2:14" x14ac:dyDescent="0.3">
      <c r="H192" s="34" t="s">
        <v>134</v>
      </c>
    </row>
    <row r="193" spans="8:8" x14ac:dyDescent="0.3">
      <c r="H193" s="34" t="s">
        <v>135</v>
      </c>
    </row>
    <row r="194" spans="8:8" x14ac:dyDescent="0.3">
      <c r="H194" s="34" t="s">
        <v>136</v>
      </c>
    </row>
    <row r="195" spans="8:8" x14ac:dyDescent="0.3">
      <c r="H195" s="34" t="s">
        <v>137</v>
      </c>
    </row>
    <row r="196" spans="8:8" x14ac:dyDescent="0.3">
      <c r="H196" s="34" t="s">
        <v>138</v>
      </c>
    </row>
    <row r="197" spans="8:8" x14ac:dyDescent="0.3">
      <c r="H197" s="34" t="s">
        <v>139</v>
      </c>
    </row>
    <row r="198" spans="8:8" x14ac:dyDescent="0.3">
      <c r="H198" s="34" t="s">
        <v>140</v>
      </c>
    </row>
    <row r="199" spans="8:8" x14ac:dyDescent="0.3">
      <c r="H199" s="34" t="s">
        <v>141</v>
      </c>
    </row>
    <row r="200" spans="8:8" x14ac:dyDescent="0.3">
      <c r="H200" s="34" t="s">
        <v>142</v>
      </c>
    </row>
    <row r="201" spans="8:8" x14ac:dyDescent="0.3">
      <c r="H201" s="34" t="s">
        <v>143</v>
      </c>
    </row>
    <row r="202" spans="8:8" x14ac:dyDescent="0.3">
      <c r="H202" s="34" t="s">
        <v>144</v>
      </c>
    </row>
    <row r="203" spans="8:8" x14ac:dyDescent="0.3">
      <c r="H203" s="34" t="s">
        <v>145</v>
      </c>
    </row>
    <row r="204" spans="8:8" x14ac:dyDescent="0.3">
      <c r="H204" s="34" t="s">
        <v>146</v>
      </c>
    </row>
    <row r="205" spans="8:8" x14ac:dyDescent="0.3">
      <c r="H205" s="34" t="s">
        <v>147</v>
      </c>
    </row>
  </sheetData>
  <mergeCells count="4">
    <mergeCell ref="B111:H114"/>
    <mergeCell ref="B116:H126"/>
    <mergeCell ref="B184:F191"/>
    <mergeCell ref="H175:N178"/>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 1994 - 2024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TouchMathics</dc:creator>
  <cp:lastModifiedBy>Joel S.V</cp:lastModifiedBy>
  <dcterms:created xsi:type="dcterms:W3CDTF">2025-11-22T07:27:59Z</dcterms:created>
  <dcterms:modified xsi:type="dcterms:W3CDTF">2026-02-08T08:12:59Z</dcterms:modified>
</cp:coreProperties>
</file>